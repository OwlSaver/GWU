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hub\GWU\Praxis\Defense\"/>
    </mc:Choice>
  </mc:AlternateContent>
  <xr:revisionPtr revIDLastSave="0" documentId="8_{88CE83C1-149F-4A7C-8610-7972DF3F1168}" xr6:coauthVersionLast="47" xr6:coauthVersionMax="47" xr10:uidLastSave="{00000000-0000-0000-0000-000000000000}"/>
  <bookViews>
    <workbookView xWindow="-120" yWindow="-120" windowWidth="29040" windowHeight="15720" activeTab="1" xr2:uid="{3B44FBE6-D950-46D9-97FD-CA85E6EAD988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</calcChain>
</file>

<file path=xl/sharedStrings.xml><?xml version="1.0" encoding="utf-8"?>
<sst xmlns="http://schemas.openxmlformats.org/spreadsheetml/2006/main" count="109" uniqueCount="56">
  <si>
    <t>Cell</t>
  </si>
  <si>
    <t>Loc</t>
  </si>
  <si>
    <t>Classes</t>
  </si>
  <si>
    <t>Name</t>
  </si>
  <si>
    <t>Setup and Environment Configuration</t>
  </si>
  <si>
    <t>Imports</t>
  </si>
  <si>
    <t>Logging Utilities</t>
  </si>
  <si>
    <t>Experiment Definitions</t>
  </si>
  <si>
    <t>Classes Used for Exceptions</t>
  </si>
  <si>
    <t>Group</t>
  </si>
  <si>
    <t>Imports and Setup</t>
  </si>
  <si>
    <t>Graph Database Classes</t>
  </si>
  <si>
    <t>Graph Schema Class</t>
  </si>
  <si>
    <t>Graph Database Class</t>
  </si>
  <si>
    <t>Graph Database Base Class</t>
  </si>
  <si>
    <t>Graph Database Writer Class</t>
  </si>
  <si>
    <t>Graph Database Refiner Class</t>
  </si>
  <si>
    <t>Methods</t>
  </si>
  <si>
    <t>Graph Database Reader Class</t>
  </si>
  <si>
    <t>LLM Classes</t>
  </si>
  <si>
    <t>LLM Service Class</t>
  </si>
  <si>
    <t>OpenAI Batch Processor</t>
  </si>
  <si>
    <t>Document Classes</t>
  </si>
  <si>
    <t>Docment Class</t>
  </si>
  <si>
    <t>Document Unit Test Class</t>
  </si>
  <si>
    <t>Mind Classes</t>
  </si>
  <si>
    <t>Mind Configuration Class</t>
  </si>
  <si>
    <t>Utilities Class</t>
  </si>
  <si>
    <t>STM Processor Class</t>
  </si>
  <si>
    <t>LTM Consolidator Class</t>
  </si>
  <si>
    <t>Memory Manager Class</t>
  </si>
  <si>
    <t>Mind Class</t>
  </si>
  <si>
    <t>Experiment Classes</t>
  </si>
  <si>
    <t>Experiment Configuration Class</t>
  </si>
  <si>
    <t>LaTeX Report Generator</t>
  </si>
  <si>
    <t>Report Generator Class</t>
  </si>
  <si>
    <t>Document EDA</t>
  </si>
  <si>
    <t>EDA Report Generator</t>
  </si>
  <si>
    <t>Ground Truth Generator Class</t>
  </si>
  <si>
    <t>Diagram Generator Class</t>
  </si>
  <si>
    <t>Test Result Class</t>
  </si>
  <si>
    <t>Experiment Class</t>
  </si>
  <si>
    <t>Experiment Runner</t>
  </si>
  <si>
    <t>Main Execution</t>
  </si>
  <si>
    <t>Lines Per Method</t>
  </si>
  <si>
    <t>Complexity</t>
  </si>
  <si>
    <t>Sum of Loc</t>
  </si>
  <si>
    <t>Sum of Classes</t>
  </si>
  <si>
    <t>Sum of Methods</t>
  </si>
  <si>
    <t>Row Labels</t>
  </si>
  <si>
    <t>Grand Total</t>
  </si>
  <si>
    <t>Moderate</t>
  </si>
  <si>
    <t>None</t>
  </si>
  <si>
    <t>Simple</t>
  </si>
  <si>
    <t>Complex</t>
  </si>
  <si>
    <t>Average of Lines Per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</si>
</sst>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9" fontId="0" fillId="0" borderId="0" xfId="1" applyNumberFormat="1" applyFon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5"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Wacey" refreshedDate="45975.904540625001" createdVersion="8" refreshedVersion="8" minRefreshableVersion="3" recordCount="32" xr:uid="{4E551FB0-A657-4B0A-8A4A-14E229F5EC04}">
  <cacheSource type="worksheet">
    <worksheetSource name="Table1"/>
  </cacheSource>
  <cacheFields count="8">
    <cacheField name="Group" numFmtId="0">
      <sharedItems count="7">
        <s v="Imports and Setup"/>
        <s v="Graph Database Classes"/>
        <s v="LLM Classes"/>
        <s v="Document Classes"/>
        <s v="Mind Classes"/>
        <s v="Experiment Classes"/>
        <s v="Main Execution"/>
      </sharedItems>
    </cacheField>
    <cacheField name="Cell" numFmtId="0">
      <sharedItems containsSemiMixedTypes="0" containsString="0" containsNumber="1" containsInteger="1" minValue="1" maxValue="32"/>
    </cacheField>
    <cacheField name="Name" numFmtId="0">
      <sharedItems containsBlank="1"/>
    </cacheField>
    <cacheField name="Loc" numFmtId="169">
      <sharedItems containsSemiMixedTypes="0" containsString="0" containsNumber="1" containsInteger="1" minValue="12" maxValue="656"/>
    </cacheField>
    <cacheField name="Classes" numFmtId="169">
      <sharedItems containsSemiMixedTypes="0" containsString="0" containsNumber="1" containsInteger="1" minValue="0" maxValue="8"/>
    </cacheField>
    <cacheField name="Methods" numFmtId="169">
      <sharedItems containsSemiMixedTypes="0" containsString="0" containsNumber="1" containsInteger="1" minValue="0" maxValue="22"/>
    </cacheField>
    <cacheField name="Lines Per Method" numFmtId="169">
      <sharedItems containsSemiMixedTypes="0" containsString="0" containsNumber="1" minValue="0" maxValue="95"/>
    </cacheField>
    <cacheField name="Complexity" numFmtId="169">
      <sharedItems count="4">
        <s v="None"/>
        <s v="Moderate"/>
        <s v="Simple"/>
        <s v="Complex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1"/>
    <s v="Setup and Environment Configuration"/>
    <n v="36"/>
    <n v="0"/>
    <n v="0"/>
    <n v="0"/>
    <x v="0"/>
  </r>
  <r>
    <x v="0"/>
    <n v="2"/>
    <s v="Imports"/>
    <n v="87"/>
    <n v="0"/>
    <n v="0"/>
    <n v="0"/>
    <x v="0"/>
  </r>
  <r>
    <x v="0"/>
    <n v="3"/>
    <s v="Logging Utilities"/>
    <n v="45"/>
    <n v="2"/>
    <n v="1"/>
    <n v="45"/>
    <x v="1"/>
  </r>
  <r>
    <x v="0"/>
    <n v="4"/>
    <s v="Experiment Definitions"/>
    <n v="656"/>
    <n v="0"/>
    <n v="0"/>
    <n v="0"/>
    <x v="0"/>
  </r>
  <r>
    <x v="0"/>
    <n v="5"/>
    <s v="Classes Used for Exceptions"/>
    <n v="31"/>
    <n v="8"/>
    <n v="0"/>
    <n v="0"/>
    <x v="0"/>
  </r>
  <r>
    <x v="1"/>
    <n v="6"/>
    <s v="Graph Schema Class"/>
    <n v="52"/>
    <n v="1"/>
    <n v="0"/>
    <n v="0"/>
    <x v="0"/>
  </r>
  <r>
    <x v="1"/>
    <n v="7"/>
    <s v="Graph Database Class"/>
    <n v="31"/>
    <n v="1"/>
    <n v="2"/>
    <n v="15.5"/>
    <x v="2"/>
  </r>
  <r>
    <x v="1"/>
    <n v="8"/>
    <s v="Graph Database Base Class"/>
    <n v="16"/>
    <n v="1"/>
    <n v="2"/>
    <n v="8"/>
    <x v="2"/>
  </r>
  <r>
    <x v="1"/>
    <n v="9"/>
    <s v="Graph Database Writer Class"/>
    <n v="44"/>
    <n v="1"/>
    <n v="1"/>
    <n v="44"/>
    <x v="1"/>
  </r>
  <r>
    <x v="1"/>
    <n v="10"/>
    <s v="Graph Database Refiner Class"/>
    <n v="311"/>
    <n v="1"/>
    <n v="12"/>
    <n v="25.916666666666668"/>
    <x v="1"/>
  </r>
  <r>
    <x v="1"/>
    <n v="11"/>
    <s v="Graph Database Reader Class"/>
    <n v="426"/>
    <n v="1"/>
    <n v="21"/>
    <n v="20.285714285714285"/>
    <x v="2"/>
  </r>
  <r>
    <x v="2"/>
    <n v="12"/>
    <s v="LLM Service Class"/>
    <n v="211"/>
    <n v="1"/>
    <n v="6"/>
    <n v="35.166666666666664"/>
    <x v="1"/>
  </r>
  <r>
    <x v="2"/>
    <n v="13"/>
    <s v="OpenAI Batch Processor"/>
    <n v="76"/>
    <n v="1"/>
    <n v="7"/>
    <n v="10.857142857142858"/>
    <x v="2"/>
  </r>
  <r>
    <x v="3"/>
    <n v="14"/>
    <s v="Docment Class"/>
    <n v="323"/>
    <n v="1"/>
    <n v="22"/>
    <n v="14.681818181818182"/>
    <x v="2"/>
  </r>
  <r>
    <x v="3"/>
    <n v="15"/>
    <s v="Document Unit Test Class"/>
    <n v="122"/>
    <n v="1"/>
    <n v="4"/>
    <n v="30.5"/>
    <x v="1"/>
  </r>
  <r>
    <x v="4"/>
    <n v="16"/>
    <s v="Mind Configuration Class"/>
    <n v="378"/>
    <n v="1"/>
    <n v="0"/>
    <n v="0"/>
    <x v="0"/>
  </r>
  <r>
    <x v="4"/>
    <n v="17"/>
    <s v="Utilities Class"/>
    <n v="42"/>
    <n v="1"/>
    <n v="3"/>
    <n v="14"/>
    <x v="2"/>
  </r>
  <r>
    <x v="4"/>
    <n v="18"/>
    <s v="STM Processor Class"/>
    <n v="209"/>
    <n v="1"/>
    <n v="5"/>
    <n v="41.8"/>
    <x v="1"/>
  </r>
  <r>
    <x v="4"/>
    <n v="19"/>
    <s v="LTM Consolidator Class"/>
    <n v="272"/>
    <n v="1"/>
    <n v="13"/>
    <n v="20.923076923076923"/>
    <x v="2"/>
  </r>
  <r>
    <x v="4"/>
    <n v="20"/>
    <s v="Memory Manager Class"/>
    <n v="49"/>
    <n v="1"/>
    <n v="4"/>
    <n v="12.25"/>
    <x v="2"/>
  </r>
  <r>
    <x v="4"/>
    <n v="21"/>
    <s v="Mind Class"/>
    <n v="167"/>
    <n v="1"/>
    <n v="8"/>
    <n v="20.875"/>
    <x v="2"/>
  </r>
  <r>
    <x v="5"/>
    <n v="22"/>
    <s v="Experiment Configuration Class"/>
    <n v="95"/>
    <n v="1"/>
    <n v="1"/>
    <n v="95"/>
    <x v="3"/>
  </r>
  <r>
    <x v="5"/>
    <n v="23"/>
    <s v="LaTeX Report Generator"/>
    <n v="156"/>
    <n v="1"/>
    <n v="10"/>
    <n v="15.6"/>
    <x v="2"/>
  </r>
  <r>
    <x v="5"/>
    <n v="24"/>
    <s v="Report Generator Class"/>
    <n v="195"/>
    <n v="1"/>
    <n v="5"/>
    <n v="39"/>
    <x v="1"/>
  </r>
  <r>
    <x v="5"/>
    <n v="25"/>
    <s v="Document EDA"/>
    <n v="84"/>
    <n v="1"/>
    <n v="5"/>
    <n v="16.8"/>
    <x v="2"/>
  </r>
  <r>
    <x v="5"/>
    <n v="26"/>
    <s v="EDA Report Generator"/>
    <n v="176"/>
    <n v="1"/>
    <n v="9"/>
    <n v="19.555555555555557"/>
    <x v="2"/>
  </r>
  <r>
    <x v="5"/>
    <n v="27"/>
    <s v="Ground Truth Generator Class"/>
    <n v="285"/>
    <n v="1"/>
    <n v="4"/>
    <n v="71.25"/>
    <x v="3"/>
  </r>
  <r>
    <x v="5"/>
    <n v="28"/>
    <s v="Diagram Generator Class"/>
    <n v="96"/>
    <n v="1"/>
    <n v="6"/>
    <n v="16"/>
    <x v="2"/>
  </r>
  <r>
    <x v="5"/>
    <n v="29"/>
    <s v="Test Result Class"/>
    <n v="109"/>
    <n v="1"/>
    <n v="9"/>
    <n v="12.111111111111111"/>
    <x v="2"/>
  </r>
  <r>
    <x v="5"/>
    <n v="30"/>
    <s v="Experiment Class"/>
    <n v="415"/>
    <n v="1"/>
    <n v="5"/>
    <n v="83"/>
    <x v="3"/>
  </r>
  <r>
    <x v="5"/>
    <n v="31"/>
    <s v="Experiment Runner"/>
    <n v="173"/>
    <n v="1"/>
    <n v="6"/>
    <n v="28.833333333333332"/>
    <x v="1"/>
  </r>
  <r>
    <x v="6"/>
    <n v="32"/>
    <m/>
    <n v="12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DD05A-B9B7-486F-B5A9-5E538FBAFF8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G3:K24" firstHeaderRow="0" firstDataRow="1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numFmtId="169" showAll="0"/>
    <pivotField dataField="1" numFmtId="169" showAll="0"/>
    <pivotField dataField="1" numFmtId="169" showAll="0"/>
    <pivotField dataField="1" numFmtId="169" showAll="0"/>
    <pivotField axis="axisRow" showAll="0">
      <items count="5">
        <item x="2"/>
        <item x="1"/>
        <item x="3"/>
        <item x="0"/>
        <item t="default"/>
      </items>
    </pivotField>
  </pivotFields>
  <rowFields count="2">
    <field x="7"/>
    <field x="0"/>
  </rowFields>
  <rowItems count="21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 v="5"/>
    </i>
    <i>
      <x v="3"/>
    </i>
    <i r="1">
      <x/>
    </i>
    <i r="1">
      <x v="1"/>
    </i>
    <i r="1">
      <x v="4"/>
    </i>
    <i r="1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oc" fld="3" baseField="0" baseItem="0" numFmtId="169"/>
    <dataField name="Sum of Classes" fld="4" baseField="0" baseItem="0" numFmtId="169"/>
    <dataField name="Sum of Methods" fld="5" baseField="0" baseItem="0" numFmtId="169"/>
    <dataField name="Average of Lines Per Method" fld="6" subtotal="average" baseField="0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86FE6-5102-4444-88BC-40401422B5D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1" firstHeaderRow="0" firstDataRow="1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numFmtId="169" showAll="0"/>
    <pivotField dataField="1" numFmtId="169" showAll="0"/>
    <pivotField dataField="1" numFmtId="169" showAll="0"/>
    <pivotField numFmtId="169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oc" fld="3" baseField="0" baseItem="0" numFmtId="169"/>
    <dataField name="Sum of Classes" fld="4" baseField="0" baseItem="0" numFmtId="169"/>
    <dataField name="Sum of Methods" fld="5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E7D30-5405-4DBE-834F-A072E24BCB44}" name="Table1" displayName="Table1" ref="A1:H33" totalsRowShown="0">
  <autoFilter ref="A1:H33" xr:uid="{06CE7D30-5405-4DBE-834F-A072E24BCB44}"/>
  <sortState xmlns:xlrd2="http://schemas.microsoft.com/office/spreadsheetml/2017/richdata2" ref="A2:H33">
    <sortCondition ref="B2:B33"/>
  </sortState>
  <tableColumns count="8">
    <tableColumn id="1" xr3:uid="{AD6CD0E6-D3EF-43AB-A5F9-8DEE46C96B40}" name="Group"/>
    <tableColumn id="2" xr3:uid="{EA1A54BD-15D8-4F1D-A618-D58394B4A9F7}" name="Cell"/>
    <tableColumn id="3" xr3:uid="{3964586E-B552-4A1D-B8D0-CB4536AD7027}" name="Name"/>
    <tableColumn id="4" xr3:uid="{2F104093-B74F-4938-88D1-496D99D66391}" name="Loc" dataDxfId="4" dataCellStyle="Comma"/>
    <tableColumn id="5" xr3:uid="{3F10C4A2-44BA-41BC-9EF0-435A9A19597C}" name="Classes" dataDxfId="3" dataCellStyle="Comma"/>
    <tableColumn id="6" xr3:uid="{970C344B-7A19-476A-83EA-E6E2A9372ECD}" name="Methods" dataDxfId="2" dataCellStyle="Comma"/>
    <tableColumn id="7" xr3:uid="{ADA4041B-0F68-4A3A-BDC5-CBD174B84A43}" name="Lines Per Method" dataDxfId="1" dataCellStyle="Comma">
      <calculatedColumnFormula>IF(Table1[[#This Row],[Methods]]&gt;0,Table1[[#This Row],[Loc]]/Table1[[#This Row],[Methods]],0)</calculatedColumnFormula>
    </tableColumn>
    <tableColumn id="8" xr3:uid="{7F24CC7F-740E-4AA1-A118-44EBBBAF546B}" name="Complexity" dataDxfId="0" dataCellStyle="Comma">
      <calculatedColumnFormula>IF(Table1[[#This Row],[Lines Per Method]]=0,"None",IF(Table1[[#This Row],[Lines Per Method]]&lt;=22,"Simple",IF(Table1[[#This Row],[Lines Per Method]]&lt;=50,"Moderate","Complex")))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ABBF-C552-4754-A55B-A93E88B32692}">
  <dimension ref="A3:K24"/>
  <sheetViews>
    <sheetView workbookViewId="0">
      <selection activeCell="G12" sqref="G12"/>
    </sheetView>
  </sheetViews>
  <sheetFormatPr defaultRowHeight="15" x14ac:dyDescent="0.25"/>
  <cols>
    <col min="1" max="1" width="23" bestFit="1" customWidth="1"/>
    <col min="2" max="2" width="10.85546875" bestFit="1" customWidth="1"/>
    <col min="3" max="3" width="15" bestFit="1" customWidth="1"/>
    <col min="4" max="4" width="15.7109375" bestFit="1" customWidth="1"/>
    <col min="7" max="7" width="26.7109375" bestFit="1" customWidth="1"/>
    <col min="8" max="8" width="10.85546875" bestFit="1" customWidth="1"/>
    <col min="9" max="9" width="15" bestFit="1" customWidth="1"/>
    <col min="10" max="10" width="15.7109375" bestFit="1" customWidth="1"/>
    <col min="11" max="11" width="27" bestFit="1" customWidth="1"/>
  </cols>
  <sheetData>
    <row r="3" spans="1:11" x14ac:dyDescent="0.25">
      <c r="A3" s="3" t="s">
        <v>49</v>
      </c>
      <c r="B3" t="s">
        <v>46</v>
      </c>
      <c r="C3" t="s">
        <v>47</v>
      </c>
      <c r="D3" t="s">
        <v>48</v>
      </c>
      <c r="G3" s="3" t="s">
        <v>49</v>
      </c>
      <c r="H3" t="s">
        <v>46</v>
      </c>
      <c r="I3" t="s">
        <v>47</v>
      </c>
      <c r="J3" t="s">
        <v>48</v>
      </c>
      <c r="K3" t="s">
        <v>55</v>
      </c>
    </row>
    <row r="4" spans="1:11" x14ac:dyDescent="0.25">
      <c r="A4" s="4" t="s">
        <v>10</v>
      </c>
      <c r="B4" s="2">
        <v>855</v>
      </c>
      <c r="C4" s="2">
        <v>10</v>
      </c>
      <c r="D4" s="2">
        <v>1</v>
      </c>
      <c r="G4" s="4" t="s">
        <v>53</v>
      </c>
      <c r="H4" s="2">
        <v>2023</v>
      </c>
      <c r="I4" s="2">
        <v>14</v>
      </c>
      <c r="J4" s="2">
        <v>121</v>
      </c>
      <c r="K4" s="2">
        <v>15.53138706531564</v>
      </c>
    </row>
    <row r="5" spans="1:11" x14ac:dyDescent="0.25">
      <c r="A5" s="4" t="s">
        <v>11</v>
      </c>
      <c r="B5" s="2">
        <v>880</v>
      </c>
      <c r="C5" s="2">
        <v>6</v>
      </c>
      <c r="D5" s="2">
        <v>38</v>
      </c>
      <c r="G5" s="5" t="s">
        <v>11</v>
      </c>
      <c r="H5" s="2">
        <v>473</v>
      </c>
      <c r="I5" s="2">
        <v>3</v>
      </c>
      <c r="J5" s="2">
        <v>25</v>
      </c>
      <c r="K5" s="2">
        <v>14.595238095238095</v>
      </c>
    </row>
    <row r="6" spans="1:11" x14ac:dyDescent="0.25">
      <c r="A6" s="4" t="s">
        <v>19</v>
      </c>
      <c r="B6" s="2">
        <v>287</v>
      </c>
      <c r="C6" s="2">
        <v>2</v>
      </c>
      <c r="D6" s="2">
        <v>13</v>
      </c>
      <c r="G6" s="5" t="s">
        <v>19</v>
      </c>
      <c r="H6" s="2">
        <v>76</v>
      </c>
      <c r="I6" s="2">
        <v>1</v>
      </c>
      <c r="J6" s="2">
        <v>7</v>
      </c>
      <c r="K6" s="2">
        <v>10.857142857142858</v>
      </c>
    </row>
    <row r="7" spans="1:11" x14ac:dyDescent="0.25">
      <c r="A7" s="4" t="s">
        <v>22</v>
      </c>
      <c r="B7" s="2">
        <v>445</v>
      </c>
      <c r="C7" s="2">
        <v>2</v>
      </c>
      <c r="D7" s="2">
        <v>26</v>
      </c>
      <c r="G7" s="5" t="s">
        <v>22</v>
      </c>
      <c r="H7" s="2">
        <v>323</v>
      </c>
      <c r="I7" s="2">
        <v>1</v>
      </c>
      <c r="J7" s="2">
        <v>22</v>
      </c>
      <c r="K7" s="2">
        <v>14.681818181818182</v>
      </c>
    </row>
    <row r="8" spans="1:11" x14ac:dyDescent="0.25">
      <c r="A8" s="4" t="s">
        <v>25</v>
      </c>
      <c r="B8" s="2">
        <v>1117</v>
      </c>
      <c r="C8" s="2">
        <v>6</v>
      </c>
      <c r="D8" s="2">
        <v>33</v>
      </c>
      <c r="G8" s="5" t="s">
        <v>25</v>
      </c>
      <c r="H8" s="2">
        <v>530</v>
      </c>
      <c r="I8" s="2">
        <v>4</v>
      </c>
      <c r="J8" s="2">
        <v>28</v>
      </c>
      <c r="K8" s="2">
        <v>17.01201923076923</v>
      </c>
    </row>
    <row r="9" spans="1:11" x14ac:dyDescent="0.25">
      <c r="A9" s="4" t="s">
        <v>32</v>
      </c>
      <c r="B9" s="2">
        <v>1784</v>
      </c>
      <c r="C9" s="2">
        <v>10</v>
      </c>
      <c r="D9" s="2">
        <v>60</v>
      </c>
      <c r="G9" s="5" t="s">
        <v>32</v>
      </c>
      <c r="H9" s="2">
        <v>621</v>
      </c>
      <c r="I9" s="2">
        <v>5</v>
      </c>
      <c r="J9" s="2">
        <v>39</v>
      </c>
      <c r="K9" s="2">
        <v>16.013333333333332</v>
      </c>
    </row>
    <row r="10" spans="1:11" x14ac:dyDescent="0.25">
      <c r="A10" s="4" t="s">
        <v>43</v>
      </c>
      <c r="B10" s="2">
        <v>12</v>
      </c>
      <c r="C10" s="2">
        <v>0</v>
      </c>
      <c r="D10" s="2">
        <v>0</v>
      </c>
      <c r="G10" s="4" t="s">
        <v>51</v>
      </c>
      <c r="H10" s="2">
        <v>1310</v>
      </c>
      <c r="I10" s="2">
        <v>9</v>
      </c>
      <c r="J10" s="2">
        <v>40</v>
      </c>
      <c r="K10" s="2">
        <v>36.27708333333333</v>
      </c>
    </row>
    <row r="11" spans="1:11" x14ac:dyDescent="0.25">
      <c r="A11" s="4" t="s">
        <v>50</v>
      </c>
      <c r="B11" s="2">
        <v>5380</v>
      </c>
      <c r="C11" s="2">
        <v>36</v>
      </c>
      <c r="D11" s="2">
        <v>171</v>
      </c>
      <c r="G11" s="5" t="s">
        <v>10</v>
      </c>
      <c r="H11" s="2">
        <v>45</v>
      </c>
      <c r="I11" s="2">
        <v>2</v>
      </c>
      <c r="J11" s="2">
        <v>1</v>
      </c>
      <c r="K11" s="2">
        <v>45</v>
      </c>
    </row>
    <row r="12" spans="1:11" x14ac:dyDescent="0.25">
      <c r="G12" s="5" t="s">
        <v>11</v>
      </c>
      <c r="H12" s="2">
        <v>355</v>
      </c>
      <c r="I12" s="2">
        <v>2</v>
      </c>
      <c r="J12" s="2">
        <v>13</v>
      </c>
      <c r="K12" s="2">
        <v>34.958333333333336</v>
      </c>
    </row>
    <row r="13" spans="1:11" x14ac:dyDescent="0.25">
      <c r="G13" s="5" t="s">
        <v>19</v>
      </c>
      <c r="H13" s="2">
        <v>211</v>
      </c>
      <c r="I13" s="2">
        <v>1</v>
      </c>
      <c r="J13" s="2">
        <v>6</v>
      </c>
      <c r="K13" s="2">
        <v>35.166666666666664</v>
      </c>
    </row>
    <row r="14" spans="1:11" x14ac:dyDescent="0.25">
      <c r="G14" s="5" t="s">
        <v>22</v>
      </c>
      <c r="H14" s="2">
        <v>122</v>
      </c>
      <c r="I14" s="2">
        <v>1</v>
      </c>
      <c r="J14" s="2">
        <v>4</v>
      </c>
      <c r="K14" s="2">
        <v>30.5</v>
      </c>
    </row>
    <row r="15" spans="1:11" x14ac:dyDescent="0.25">
      <c r="G15" s="5" t="s">
        <v>25</v>
      </c>
      <c r="H15" s="2">
        <v>209</v>
      </c>
      <c r="I15" s="2">
        <v>1</v>
      </c>
      <c r="J15" s="2">
        <v>5</v>
      </c>
      <c r="K15" s="2">
        <v>41.8</v>
      </c>
    </row>
    <row r="16" spans="1:11" x14ac:dyDescent="0.25">
      <c r="G16" s="5" t="s">
        <v>32</v>
      </c>
      <c r="H16" s="2">
        <v>368</v>
      </c>
      <c r="I16" s="2">
        <v>2</v>
      </c>
      <c r="J16" s="2">
        <v>11</v>
      </c>
      <c r="K16" s="2">
        <v>33.916666666666664</v>
      </c>
    </row>
    <row r="17" spans="7:11" x14ac:dyDescent="0.25">
      <c r="G17" s="4" t="s">
        <v>54</v>
      </c>
      <c r="H17" s="2">
        <v>795</v>
      </c>
      <c r="I17" s="2">
        <v>3</v>
      </c>
      <c r="J17" s="2">
        <v>10</v>
      </c>
      <c r="K17" s="2">
        <v>83.083333333333329</v>
      </c>
    </row>
    <row r="18" spans="7:11" x14ac:dyDescent="0.25">
      <c r="G18" s="5" t="s">
        <v>32</v>
      </c>
      <c r="H18" s="2">
        <v>795</v>
      </c>
      <c r="I18" s="2">
        <v>3</v>
      </c>
      <c r="J18" s="2">
        <v>10</v>
      </c>
      <c r="K18" s="2">
        <v>83.083333333333329</v>
      </c>
    </row>
    <row r="19" spans="7:11" x14ac:dyDescent="0.25">
      <c r="G19" s="4" t="s">
        <v>52</v>
      </c>
      <c r="H19" s="2">
        <v>1252</v>
      </c>
      <c r="I19" s="2">
        <v>10</v>
      </c>
      <c r="J19" s="2">
        <v>0</v>
      </c>
      <c r="K19" s="2">
        <v>0</v>
      </c>
    </row>
    <row r="20" spans="7:11" x14ac:dyDescent="0.25">
      <c r="G20" s="5" t="s">
        <v>10</v>
      </c>
      <c r="H20" s="2">
        <v>810</v>
      </c>
      <c r="I20" s="2">
        <v>8</v>
      </c>
      <c r="J20" s="2">
        <v>0</v>
      </c>
      <c r="K20" s="2">
        <v>0</v>
      </c>
    </row>
    <row r="21" spans="7:11" x14ac:dyDescent="0.25">
      <c r="G21" s="5" t="s">
        <v>11</v>
      </c>
      <c r="H21" s="2">
        <v>52</v>
      </c>
      <c r="I21" s="2">
        <v>1</v>
      </c>
      <c r="J21" s="2">
        <v>0</v>
      </c>
      <c r="K21" s="2">
        <v>0</v>
      </c>
    </row>
    <row r="22" spans="7:11" x14ac:dyDescent="0.25">
      <c r="G22" s="5" t="s">
        <v>25</v>
      </c>
      <c r="H22" s="2">
        <v>378</v>
      </c>
      <c r="I22" s="2">
        <v>1</v>
      </c>
      <c r="J22" s="2">
        <v>0</v>
      </c>
      <c r="K22" s="2">
        <v>0</v>
      </c>
    </row>
    <row r="23" spans="7:11" x14ac:dyDescent="0.25">
      <c r="G23" s="5" t="s">
        <v>43</v>
      </c>
      <c r="H23" s="2">
        <v>12</v>
      </c>
      <c r="I23" s="2">
        <v>0</v>
      </c>
      <c r="J23" s="2">
        <v>0</v>
      </c>
      <c r="K23" s="2">
        <v>0</v>
      </c>
    </row>
    <row r="24" spans="7:11" x14ac:dyDescent="0.25">
      <c r="G24" s="4" t="s">
        <v>50</v>
      </c>
      <c r="H24" s="2">
        <v>5380</v>
      </c>
      <c r="I24" s="2">
        <v>36</v>
      </c>
      <c r="J24" s="2">
        <v>171</v>
      </c>
      <c r="K24" s="2">
        <v>23.653315174408927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3E61-11C2-49F1-9A1F-C0A2059CCB90}">
  <dimension ref="A1:H33"/>
  <sheetViews>
    <sheetView tabSelected="1" workbookViewId="0">
      <selection activeCell="C22" sqref="C22"/>
    </sheetView>
  </sheetViews>
  <sheetFormatPr defaultRowHeight="15" x14ac:dyDescent="0.25"/>
  <cols>
    <col min="1" max="1" width="23" bestFit="1" customWidth="1"/>
    <col min="2" max="2" width="7" bestFit="1" customWidth="1"/>
    <col min="3" max="3" width="34.42578125" bestFit="1" customWidth="1"/>
    <col min="4" max="4" width="6.42578125" bestFit="1" customWidth="1"/>
    <col min="5" max="5" width="10.42578125" bestFit="1" customWidth="1"/>
    <col min="6" max="6" width="11.140625" bestFit="1" customWidth="1"/>
    <col min="7" max="7" width="19" bestFit="1" customWidth="1"/>
    <col min="8" max="8" width="13.7109375" bestFit="1" customWidth="1"/>
  </cols>
  <sheetData>
    <row r="1" spans="1:8" x14ac:dyDescent="0.25">
      <c r="A1" t="s">
        <v>9</v>
      </c>
      <c r="B1" t="s">
        <v>0</v>
      </c>
      <c r="C1" t="s">
        <v>3</v>
      </c>
      <c r="D1" t="s">
        <v>1</v>
      </c>
      <c r="E1" t="s">
        <v>2</v>
      </c>
      <c r="F1" t="s">
        <v>17</v>
      </c>
      <c r="G1" t="s">
        <v>44</v>
      </c>
      <c r="H1" t="s">
        <v>45</v>
      </c>
    </row>
    <row r="2" spans="1:8" x14ac:dyDescent="0.25">
      <c r="A2" t="s">
        <v>10</v>
      </c>
      <c r="B2">
        <v>1</v>
      </c>
      <c r="C2" t="s">
        <v>4</v>
      </c>
      <c r="D2" s="1">
        <v>36</v>
      </c>
      <c r="E2" s="1">
        <v>0</v>
      </c>
      <c r="F2" s="1">
        <v>0</v>
      </c>
      <c r="G2" s="1">
        <f>IF(Table1[[#This Row],[Methods]]&gt;0,Table1[[#This Row],[Loc]]/Table1[[#This Row],[Methods]],0)</f>
        <v>0</v>
      </c>
      <c r="H2" s="1" t="str">
        <f>IF(Table1[[#This Row],[Lines Per Method]]=0,"None",IF(Table1[[#This Row],[Lines Per Method]]&lt;=22,"Simple",IF(Table1[[#This Row],[Lines Per Method]]&lt;=50,"Moderate","Complex")))</f>
        <v>None</v>
      </c>
    </row>
    <row r="3" spans="1:8" x14ac:dyDescent="0.25">
      <c r="A3" t="s">
        <v>10</v>
      </c>
      <c r="B3">
        <v>2</v>
      </c>
      <c r="C3" t="s">
        <v>5</v>
      </c>
      <c r="D3" s="1">
        <v>87</v>
      </c>
      <c r="E3" s="1">
        <v>0</v>
      </c>
      <c r="F3" s="1">
        <v>0</v>
      </c>
      <c r="G3" s="1">
        <f>IF(Table1[[#This Row],[Methods]]&gt;0,Table1[[#This Row],[Loc]]/Table1[[#This Row],[Methods]],0)</f>
        <v>0</v>
      </c>
      <c r="H3" s="1" t="str">
        <f>IF(Table1[[#This Row],[Lines Per Method]]=0,"None",IF(Table1[[#This Row],[Lines Per Method]]&lt;=22,"Simple",IF(Table1[[#This Row],[Lines Per Method]]&lt;=50,"Moderate","Complex")))</f>
        <v>None</v>
      </c>
    </row>
    <row r="4" spans="1:8" x14ac:dyDescent="0.25">
      <c r="A4" t="s">
        <v>10</v>
      </c>
      <c r="B4">
        <v>3</v>
      </c>
      <c r="C4" t="s">
        <v>6</v>
      </c>
      <c r="D4" s="1">
        <v>45</v>
      </c>
      <c r="E4" s="1">
        <v>2</v>
      </c>
      <c r="F4" s="1">
        <v>1</v>
      </c>
      <c r="G4" s="1">
        <f>IF(Table1[[#This Row],[Methods]]&gt;0,Table1[[#This Row],[Loc]]/Table1[[#This Row],[Methods]],0)</f>
        <v>45</v>
      </c>
      <c r="H4" s="1" t="str">
        <f>IF(Table1[[#This Row],[Lines Per Method]]=0,"None",IF(Table1[[#This Row],[Lines Per Method]]&lt;=22,"Simple",IF(Table1[[#This Row],[Lines Per Method]]&lt;=50,"Moderate","Complex")))</f>
        <v>Moderate</v>
      </c>
    </row>
    <row r="5" spans="1:8" x14ac:dyDescent="0.25">
      <c r="A5" t="s">
        <v>10</v>
      </c>
      <c r="B5">
        <v>4</v>
      </c>
      <c r="C5" t="s">
        <v>7</v>
      </c>
      <c r="D5" s="1">
        <v>656</v>
      </c>
      <c r="E5" s="1">
        <v>0</v>
      </c>
      <c r="F5" s="1">
        <v>0</v>
      </c>
      <c r="G5" s="1">
        <f>IF(Table1[[#This Row],[Methods]]&gt;0,Table1[[#This Row],[Loc]]/Table1[[#This Row],[Methods]],0)</f>
        <v>0</v>
      </c>
      <c r="H5" s="1" t="str">
        <f>IF(Table1[[#This Row],[Lines Per Method]]=0,"None",IF(Table1[[#This Row],[Lines Per Method]]&lt;=22,"Simple",IF(Table1[[#This Row],[Lines Per Method]]&lt;=50,"Moderate","Complex")))</f>
        <v>None</v>
      </c>
    </row>
    <row r="6" spans="1:8" x14ac:dyDescent="0.25">
      <c r="A6" t="s">
        <v>10</v>
      </c>
      <c r="B6">
        <v>5</v>
      </c>
      <c r="C6" t="s">
        <v>8</v>
      </c>
      <c r="D6" s="1">
        <v>31</v>
      </c>
      <c r="E6" s="1">
        <v>8</v>
      </c>
      <c r="F6" s="1">
        <v>0</v>
      </c>
      <c r="G6" s="1">
        <f>IF(Table1[[#This Row],[Methods]]&gt;0,Table1[[#This Row],[Loc]]/Table1[[#This Row],[Methods]],0)</f>
        <v>0</v>
      </c>
      <c r="H6" s="1" t="str">
        <f>IF(Table1[[#This Row],[Lines Per Method]]=0,"None",IF(Table1[[#This Row],[Lines Per Method]]&lt;=22,"Simple",IF(Table1[[#This Row],[Lines Per Method]]&lt;=50,"Moderate","Complex")))</f>
        <v>None</v>
      </c>
    </row>
    <row r="7" spans="1:8" x14ac:dyDescent="0.25">
      <c r="A7" t="s">
        <v>11</v>
      </c>
      <c r="B7">
        <v>6</v>
      </c>
      <c r="C7" t="s">
        <v>12</v>
      </c>
      <c r="D7" s="1">
        <v>52</v>
      </c>
      <c r="E7" s="1">
        <v>1</v>
      </c>
      <c r="F7" s="1">
        <v>0</v>
      </c>
      <c r="G7" s="1">
        <f>IF(Table1[[#This Row],[Methods]]&gt;0,Table1[[#This Row],[Loc]]/Table1[[#This Row],[Methods]],0)</f>
        <v>0</v>
      </c>
      <c r="H7" s="1" t="str">
        <f>IF(Table1[[#This Row],[Lines Per Method]]=0,"None",IF(Table1[[#This Row],[Lines Per Method]]&lt;=22,"Simple",IF(Table1[[#This Row],[Lines Per Method]]&lt;=50,"Moderate","Complex")))</f>
        <v>None</v>
      </c>
    </row>
    <row r="8" spans="1:8" x14ac:dyDescent="0.25">
      <c r="A8" t="s">
        <v>11</v>
      </c>
      <c r="B8">
        <v>7</v>
      </c>
      <c r="C8" t="s">
        <v>13</v>
      </c>
      <c r="D8" s="1">
        <v>31</v>
      </c>
      <c r="E8" s="1">
        <v>1</v>
      </c>
      <c r="F8" s="1">
        <v>2</v>
      </c>
      <c r="G8" s="1">
        <f>IF(Table1[[#This Row],[Methods]]&gt;0,Table1[[#This Row],[Loc]]/Table1[[#This Row],[Methods]],0)</f>
        <v>15.5</v>
      </c>
      <c r="H8" s="1" t="str">
        <f>IF(Table1[[#This Row],[Lines Per Method]]=0,"None",IF(Table1[[#This Row],[Lines Per Method]]&lt;=22,"Simple",IF(Table1[[#This Row],[Lines Per Method]]&lt;=50,"Moderate","Complex")))</f>
        <v>Simple</v>
      </c>
    </row>
    <row r="9" spans="1:8" x14ac:dyDescent="0.25">
      <c r="A9" t="s">
        <v>11</v>
      </c>
      <c r="B9">
        <v>8</v>
      </c>
      <c r="C9" t="s">
        <v>14</v>
      </c>
      <c r="D9" s="1">
        <v>16</v>
      </c>
      <c r="E9" s="1">
        <v>1</v>
      </c>
      <c r="F9" s="1">
        <v>2</v>
      </c>
      <c r="G9" s="1">
        <f>IF(Table1[[#This Row],[Methods]]&gt;0,Table1[[#This Row],[Loc]]/Table1[[#This Row],[Methods]],0)</f>
        <v>8</v>
      </c>
      <c r="H9" s="1" t="str">
        <f>IF(Table1[[#This Row],[Lines Per Method]]=0,"None",IF(Table1[[#This Row],[Lines Per Method]]&lt;=22,"Simple",IF(Table1[[#This Row],[Lines Per Method]]&lt;=50,"Moderate","Complex")))</f>
        <v>Simple</v>
      </c>
    </row>
    <row r="10" spans="1:8" x14ac:dyDescent="0.25">
      <c r="A10" t="s">
        <v>11</v>
      </c>
      <c r="B10">
        <v>9</v>
      </c>
      <c r="C10" t="s">
        <v>15</v>
      </c>
      <c r="D10" s="1">
        <v>44</v>
      </c>
      <c r="E10" s="1">
        <v>1</v>
      </c>
      <c r="F10" s="1">
        <v>1</v>
      </c>
      <c r="G10" s="1">
        <f>IF(Table1[[#This Row],[Methods]]&gt;0,Table1[[#This Row],[Loc]]/Table1[[#This Row],[Methods]],0)</f>
        <v>44</v>
      </c>
      <c r="H10" s="1" t="str">
        <f>IF(Table1[[#This Row],[Lines Per Method]]=0,"None",IF(Table1[[#This Row],[Lines Per Method]]&lt;=22,"Simple",IF(Table1[[#This Row],[Lines Per Method]]&lt;=50,"Moderate","Complex")))</f>
        <v>Moderate</v>
      </c>
    </row>
    <row r="11" spans="1:8" x14ac:dyDescent="0.25">
      <c r="A11" t="s">
        <v>11</v>
      </c>
      <c r="B11">
        <v>10</v>
      </c>
      <c r="C11" t="s">
        <v>16</v>
      </c>
      <c r="D11" s="1">
        <v>311</v>
      </c>
      <c r="E11" s="1">
        <v>1</v>
      </c>
      <c r="F11" s="1">
        <v>12</v>
      </c>
      <c r="G11" s="1">
        <f>IF(Table1[[#This Row],[Methods]]&gt;0,Table1[[#This Row],[Loc]]/Table1[[#This Row],[Methods]],0)</f>
        <v>25.916666666666668</v>
      </c>
      <c r="H11" s="1" t="str">
        <f>IF(Table1[[#This Row],[Lines Per Method]]=0,"None",IF(Table1[[#This Row],[Lines Per Method]]&lt;=22,"Simple",IF(Table1[[#This Row],[Lines Per Method]]&lt;=50,"Moderate","Complex")))</f>
        <v>Moderate</v>
      </c>
    </row>
    <row r="12" spans="1:8" x14ac:dyDescent="0.25">
      <c r="A12" t="s">
        <v>11</v>
      </c>
      <c r="B12">
        <v>11</v>
      </c>
      <c r="C12" t="s">
        <v>18</v>
      </c>
      <c r="D12" s="1">
        <v>426</v>
      </c>
      <c r="E12" s="1">
        <v>1</v>
      </c>
      <c r="F12" s="1">
        <v>21</v>
      </c>
      <c r="G12" s="1">
        <f>IF(Table1[[#This Row],[Methods]]&gt;0,Table1[[#This Row],[Loc]]/Table1[[#This Row],[Methods]],0)</f>
        <v>20.285714285714285</v>
      </c>
      <c r="H12" s="1" t="str">
        <f>IF(Table1[[#This Row],[Lines Per Method]]=0,"None",IF(Table1[[#This Row],[Lines Per Method]]&lt;=22,"Simple",IF(Table1[[#This Row],[Lines Per Method]]&lt;=50,"Moderate","Complex")))</f>
        <v>Simple</v>
      </c>
    </row>
    <row r="13" spans="1:8" x14ac:dyDescent="0.25">
      <c r="A13" t="s">
        <v>19</v>
      </c>
      <c r="B13">
        <v>12</v>
      </c>
      <c r="C13" t="s">
        <v>20</v>
      </c>
      <c r="D13" s="1">
        <v>211</v>
      </c>
      <c r="E13" s="1">
        <v>1</v>
      </c>
      <c r="F13" s="1">
        <v>6</v>
      </c>
      <c r="G13" s="1">
        <f>IF(Table1[[#This Row],[Methods]]&gt;0,Table1[[#This Row],[Loc]]/Table1[[#This Row],[Methods]],0)</f>
        <v>35.166666666666664</v>
      </c>
      <c r="H13" s="1" t="str">
        <f>IF(Table1[[#This Row],[Lines Per Method]]=0,"None",IF(Table1[[#This Row],[Lines Per Method]]&lt;=22,"Simple",IF(Table1[[#This Row],[Lines Per Method]]&lt;=50,"Moderate","Complex")))</f>
        <v>Moderate</v>
      </c>
    </row>
    <row r="14" spans="1:8" x14ac:dyDescent="0.25">
      <c r="A14" t="s">
        <v>19</v>
      </c>
      <c r="B14">
        <v>13</v>
      </c>
      <c r="C14" t="s">
        <v>21</v>
      </c>
      <c r="D14" s="1">
        <v>76</v>
      </c>
      <c r="E14" s="1">
        <v>1</v>
      </c>
      <c r="F14" s="1">
        <v>7</v>
      </c>
      <c r="G14" s="1">
        <f>IF(Table1[[#This Row],[Methods]]&gt;0,Table1[[#This Row],[Loc]]/Table1[[#This Row],[Methods]],0)</f>
        <v>10.857142857142858</v>
      </c>
      <c r="H14" s="1" t="str">
        <f>IF(Table1[[#This Row],[Lines Per Method]]=0,"None",IF(Table1[[#This Row],[Lines Per Method]]&lt;=22,"Simple",IF(Table1[[#This Row],[Lines Per Method]]&lt;=50,"Moderate","Complex")))</f>
        <v>Simple</v>
      </c>
    </row>
    <row r="15" spans="1:8" x14ac:dyDescent="0.25">
      <c r="A15" t="s">
        <v>22</v>
      </c>
      <c r="B15">
        <v>14</v>
      </c>
      <c r="C15" t="s">
        <v>23</v>
      </c>
      <c r="D15" s="1">
        <v>323</v>
      </c>
      <c r="E15" s="1">
        <v>1</v>
      </c>
      <c r="F15" s="1">
        <v>22</v>
      </c>
      <c r="G15" s="1">
        <f>IF(Table1[[#This Row],[Methods]]&gt;0,Table1[[#This Row],[Loc]]/Table1[[#This Row],[Methods]],0)</f>
        <v>14.681818181818182</v>
      </c>
      <c r="H15" s="1" t="str">
        <f>IF(Table1[[#This Row],[Lines Per Method]]=0,"None",IF(Table1[[#This Row],[Lines Per Method]]&lt;=22,"Simple",IF(Table1[[#This Row],[Lines Per Method]]&lt;=50,"Moderate","Complex")))</f>
        <v>Simple</v>
      </c>
    </row>
    <row r="16" spans="1:8" x14ac:dyDescent="0.25">
      <c r="A16" t="s">
        <v>22</v>
      </c>
      <c r="B16">
        <v>15</v>
      </c>
      <c r="C16" t="s">
        <v>24</v>
      </c>
      <c r="D16" s="1">
        <v>122</v>
      </c>
      <c r="E16" s="1">
        <v>1</v>
      </c>
      <c r="F16" s="1">
        <v>4</v>
      </c>
      <c r="G16" s="1">
        <f>IF(Table1[[#This Row],[Methods]]&gt;0,Table1[[#This Row],[Loc]]/Table1[[#This Row],[Methods]],0)</f>
        <v>30.5</v>
      </c>
      <c r="H16" s="1" t="str">
        <f>IF(Table1[[#This Row],[Lines Per Method]]=0,"None",IF(Table1[[#This Row],[Lines Per Method]]&lt;=22,"Simple",IF(Table1[[#This Row],[Lines Per Method]]&lt;=50,"Moderate","Complex")))</f>
        <v>Moderate</v>
      </c>
    </row>
    <row r="17" spans="1:8" x14ac:dyDescent="0.25">
      <c r="A17" t="s">
        <v>25</v>
      </c>
      <c r="B17">
        <v>16</v>
      </c>
      <c r="C17" t="s">
        <v>26</v>
      </c>
      <c r="D17" s="1">
        <v>378</v>
      </c>
      <c r="E17" s="1">
        <v>1</v>
      </c>
      <c r="F17" s="1">
        <v>0</v>
      </c>
      <c r="G17" s="1">
        <f>IF(Table1[[#This Row],[Methods]]&gt;0,Table1[[#This Row],[Loc]]/Table1[[#This Row],[Methods]],0)</f>
        <v>0</v>
      </c>
      <c r="H17" s="1" t="str">
        <f>IF(Table1[[#This Row],[Lines Per Method]]=0,"None",IF(Table1[[#This Row],[Lines Per Method]]&lt;=22,"Simple",IF(Table1[[#This Row],[Lines Per Method]]&lt;=50,"Moderate","Complex")))</f>
        <v>None</v>
      </c>
    </row>
    <row r="18" spans="1:8" x14ac:dyDescent="0.25">
      <c r="A18" t="s">
        <v>25</v>
      </c>
      <c r="B18">
        <v>17</v>
      </c>
      <c r="C18" t="s">
        <v>27</v>
      </c>
      <c r="D18" s="1">
        <v>42</v>
      </c>
      <c r="E18" s="1">
        <v>1</v>
      </c>
      <c r="F18" s="1">
        <v>3</v>
      </c>
      <c r="G18" s="1">
        <f>IF(Table1[[#This Row],[Methods]]&gt;0,Table1[[#This Row],[Loc]]/Table1[[#This Row],[Methods]],0)</f>
        <v>14</v>
      </c>
      <c r="H18" s="1" t="str">
        <f>IF(Table1[[#This Row],[Lines Per Method]]=0,"None",IF(Table1[[#This Row],[Lines Per Method]]&lt;=22,"Simple",IF(Table1[[#This Row],[Lines Per Method]]&lt;=50,"Moderate","Complex")))</f>
        <v>Simple</v>
      </c>
    </row>
    <row r="19" spans="1:8" x14ac:dyDescent="0.25">
      <c r="A19" t="s">
        <v>25</v>
      </c>
      <c r="B19">
        <v>18</v>
      </c>
      <c r="C19" t="s">
        <v>28</v>
      </c>
      <c r="D19" s="1">
        <v>209</v>
      </c>
      <c r="E19" s="1">
        <v>1</v>
      </c>
      <c r="F19" s="1">
        <v>5</v>
      </c>
      <c r="G19" s="1">
        <f>IF(Table1[[#This Row],[Methods]]&gt;0,Table1[[#This Row],[Loc]]/Table1[[#This Row],[Methods]],0)</f>
        <v>41.8</v>
      </c>
      <c r="H19" s="1" t="str">
        <f>IF(Table1[[#This Row],[Lines Per Method]]=0,"None",IF(Table1[[#This Row],[Lines Per Method]]&lt;=22,"Simple",IF(Table1[[#This Row],[Lines Per Method]]&lt;=50,"Moderate","Complex")))</f>
        <v>Moderate</v>
      </c>
    </row>
    <row r="20" spans="1:8" x14ac:dyDescent="0.25">
      <c r="A20" t="s">
        <v>25</v>
      </c>
      <c r="B20">
        <v>19</v>
      </c>
      <c r="C20" t="s">
        <v>29</v>
      </c>
      <c r="D20" s="1">
        <v>272</v>
      </c>
      <c r="E20" s="1">
        <v>1</v>
      </c>
      <c r="F20" s="1">
        <v>13</v>
      </c>
      <c r="G20" s="1">
        <f>IF(Table1[[#This Row],[Methods]]&gt;0,Table1[[#This Row],[Loc]]/Table1[[#This Row],[Methods]],0)</f>
        <v>20.923076923076923</v>
      </c>
      <c r="H20" s="1" t="str">
        <f>IF(Table1[[#This Row],[Lines Per Method]]=0,"None",IF(Table1[[#This Row],[Lines Per Method]]&lt;=22,"Simple",IF(Table1[[#This Row],[Lines Per Method]]&lt;=50,"Moderate","Complex")))</f>
        <v>Simple</v>
      </c>
    </row>
    <row r="21" spans="1:8" x14ac:dyDescent="0.25">
      <c r="A21" t="s">
        <v>25</v>
      </c>
      <c r="B21">
        <v>20</v>
      </c>
      <c r="C21" t="s">
        <v>30</v>
      </c>
      <c r="D21" s="1">
        <v>49</v>
      </c>
      <c r="E21" s="1">
        <v>1</v>
      </c>
      <c r="F21" s="1">
        <v>4</v>
      </c>
      <c r="G21" s="1">
        <f>IF(Table1[[#This Row],[Methods]]&gt;0,Table1[[#This Row],[Loc]]/Table1[[#This Row],[Methods]],0)</f>
        <v>12.25</v>
      </c>
      <c r="H21" s="1" t="str">
        <f>IF(Table1[[#This Row],[Lines Per Method]]=0,"None",IF(Table1[[#This Row],[Lines Per Method]]&lt;=22,"Simple",IF(Table1[[#This Row],[Lines Per Method]]&lt;=50,"Moderate","Complex")))</f>
        <v>Simple</v>
      </c>
    </row>
    <row r="22" spans="1:8" x14ac:dyDescent="0.25">
      <c r="A22" t="s">
        <v>25</v>
      </c>
      <c r="B22">
        <v>21</v>
      </c>
      <c r="C22" t="s">
        <v>31</v>
      </c>
      <c r="D22" s="1">
        <v>167</v>
      </c>
      <c r="E22" s="1">
        <v>1</v>
      </c>
      <c r="F22" s="1">
        <v>8</v>
      </c>
      <c r="G22" s="1">
        <f>IF(Table1[[#This Row],[Methods]]&gt;0,Table1[[#This Row],[Loc]]/Table1[[#This Row],[Methods]],0)</f>
        <v>20.875</v>
      </c>
      <c r="H22" s="1" t="str">
        <f>IF(Table1[[#This Row],[Lines Per Method]]=0,"None",IF(Table1[[#This Row],[Lines Per Method]]&lt;=22,"Simple",IF(Table1[[#This Row],[Lines Per Method]]&lt;=50,"Moderate","Complex")))</f>
        <v>Simple</v>
      </c>
    </row>
    <row r="23" spans="1:8" x14ac:dyDescent="0.25">
      <c r="A23" t="s">
        <v>32</v>
      </c>
      <c r="B23">
        <v>22</v>
      </c>
      <c r="C23" t="s">
        <v>33</v>
      </c>
      <c r="D23" s="1">
        <v>95</v>
      </c>
      <c r="E23" s="1">
        <v>1</v>
      </c>
      <c r="F23" s="1">
        <v>1</v>
      </c>
      <c r="G23" s="1">
        <f>IF(Table1[[#This Row],[Methods]]&gt;0,Table1[[#This Row],[Loc]]/Table1[[#This Row],[Methods]],0)</f>
        <v>95</v>
      </c>
      <c r="H23" s="1" t="str">
        <f>IF(Table1[[#This Row],[Lines Per Method]]=0,"None",IF(Table1[[#This Row],[Lines Per Method]]&lt;=22,"Simple",IF(Table1[[#This Row],[Lines Per Method]]&lt;=50,"Moderate","Complex")))</f>
        <v>Complex</v>
      </c>
    </row>
    <row r="24" spans="1:8" x14ac:dyDescent="0.25">
      <c r="A24" t="s">
        <v>32</v>
      </c>
      <c r="B24">
        <v>23</v>
      </c>
      <c r="C24" t="s">
        <v>34</v>
      </c>
      <c r="D24" s="1">
        <v>156</v>
      </c>
      <c r="E24" s="1">
        <v>1</v>
      </c>
      <c r="F24" s="1">
        <v>10</v>
      </c>
      <c r="G24" s="1">
        <f>IF(Table1[[#This Row],[Methods]]&gt;0,Table1[[#This Row],[Loc]]/Table1[[#This Row],[Methods]],0)</f>
        <v>15.6</v>
      </c>
      <c r="H24" s="1" t="str">
        <f>IF(Table1[[#This Row],[Lines Per Method]]=0,"None",IF(Table1[[#This Row],[Lines Per Method]]&lt;=22,"Simple",IF(Table1[[#This Row],[Lines Per Method]]&lt;=50,"Moderate","Complex")))</f>
        <v>Simple</v>
      </c>
    </row>
    <row r="25" spans="1:8" x14ac:dyDescent="0.25">
      <c r="A25" t="s">
        <v>32</v>
      </c>
      <c r="B25">
        <v>24</v>
      </c>
      <c r="C25" t="s">
        <v>35</v>
      </c>
      <c r="D25" s="1">
        <v>195</v>
      </c>
      <c r="E25" s="1">
        <v>1</v>
      </c>
      <c r="F25" s="1">
        <v>5</v>
      </c>
      <c r="G25" s="1">
        <f>IF(Table1[[#This Row],[Methods]]&gt;0,Table1[[#This Row],[Loc]]/Table1[[#This Row],[Methods]],0)</f>
        <v>39</v>
      </c>
      <c r="H25" s="1" t="str">
        <f>IF(Table1[[#This Row],[Lines Per Method]]=0,"None",IF(Table1[[#This Row],[Lines Per Method]]&lt;=22,"Simple",IF(Table1[[#This Row],[Lines Per Method]]&lt;=50,"Moderate","Complex")))</f>
        <v>Moderate</v>
      </c>
    </row>
    <row r="26" spans="1:8" x14ac:dyDescent="0.25">
      <c r="A26" t="s">
        <v>32</v>
      </c>
      <c r="B26">
        <v>25</v>
      </c>
      <c r="C26" t="s">
        <v>36</v>
      </c>
      <c r="D26" s="1">
        <v>84</v>
      </c>
      <c r="E26" s="1">
        <v>1</v>
      </c>
      <c r="F26" s="1">
        <v>5</v>
      </c>
      <c r="G26" s="1">
        <f>IF(Table1[[#This Row],[Methods]]&gt;0,Table1[[#This Row],[Loc]]/Table1[[#This Row],[Methods]],0)</f>
        <v>16.8</v>
      </c>
      <c r="H26" s="1" t="str">
        <f>IF(Table1[[#This Row],[Lines Per Method]]=0,"None",IF(Table1[[#This Row],[Lines Per Method]]&lt;=22,"Simple",IF(Table1[[#This Row],[Lines Per Method]]&lt;=50,"Moderate","Complex")))</f>
        <v>Simple</v>
      </c>
    </row>
    <row r="27" spans="1:8" x14ac:dyDescent="0.25">
      <c r="A27" t="s">
        <v>32</v>
      </c>
      <c r="B27">
        <v>26</v>
      </c>
      <c r="C27" t="s">
        <v>37</v>
      </c>
      <c r="D27" s="1">
        <v>176</v>
      </c>
      <c r="E27" s="1">
        <v>1</v>
      </c>
      <c r="F27" s="1">
        <v>9</v>
      </c>
      <c r="G27" s="1">
        <f>IF(Table1[[#This Row],[Methods]]&gt;0,Table1[[#This Row],[Loc]]/Table1[[#This Row],[Methods]],0)</f>
        <v>19.555555555555557</v>
      </c>
      <c r="H27" s="1" t="str">
        <f>IF(Table1[[#This Row],[Lines Per Method]]=0,"None",IF(Table1[[#This Row],[Lines Per Method]]&lt;=22,"Simple",IF(Table1[[#This Row],[Lines Per Method]]&lt;=50,"Moderate","Complex")))</f>
        <v>Simple</v>
      </c>
    </row>
    <row r="28" spans="1:8" x14ac:dyDescent="0.25">
      <c r="A28" t="s">
        <v>32</v>
      </c>
      <c r="B28">
        <v>27</v>
      </c>
      <c r="C28" t="s">
        <v>38</v>
      </c>
      <c r="D28" s="1">
        <v>285</v>
      </c>
      <c r="E28" s="1">
        <v>1</v>
      </c>
      <c r="F28" s="1">
        <v>4</v>
      </c>
      <c r="G28" s="1">
        <f>IF(Table1[[#This Row],[Methods]]&gt;0,Table1[[#This Row],[Loc]]/Table1[[#This Row],[Methods]],0)</f>
        <v>71.25</v>
      </c>
      <c r="H28" s="1" t="str">
        <f>IF(Table1[[#This Row],[Lines Per Method]]=0,"None",IF(Table1[[#This Row],[Lines Per Method]]&lt;=22,"Simple",IF(Table1[[#This Row],[Lines Per Method]]&lt;=50,"Moderate","Complex")))</f>
        <v>Complex</v>
      </c>
    </row>
    <row r="29" spans="1:8" x14ac:dyDescent="0.25">
      <c r="A29" t="s">
        <v>32</v>
      </c>
      <c r="B29">
        <v>28</v>
      </c>
      <c r="C29" t="s">
        <v>39</v>
      </c>
      <c r="D29" s="1">
        <v>96</v>
      </c>
      <c r="E29" s="1">
        <v>1</v>
      </c>
      <c r="F29" s="1">
        <v>6</v>
      </c>
      <c r="G29" s="1">
        <f>IF(Table1[[#This Row],[Methods]]&gt;0,Table1[[#This Row],[Loc]]/Table1[[#This Row],[Methods]],0)</f>
        <v>16</v>
      </c>
      <c r="H29" s="1" t="str">
        <f>IF(Table1[[#This Row],[Lines Per Method]]=0,"None",IF(Table1[[#This Row],[Lines Per Method]]&lt;=22,"Simple",IF(Table1[[#This Row],[Lines Per Method]]&lt;=50,"Moderate","Complex")))</f>
        <v>Simple</v>
      </c>
    </row>
    <row r="30" spans="1:8" x14ac:dyDescent="0.25">
      <c r="A30" t="s">
        <v>32</v>
      </c>
      <c r="B30">
        <v>29</v>
      </c>
      <c r="C30" t="s">
        <v>40</v>
      </c>
      <c r="D30" s="1">
        <v>109</v>
      </c>
      <c r="E30" s="1">
        <v>1</v>
      </c>
      <c r="F30" s="1">
        <v>9</v>
      </c>
      <c r="G30" s="1">
        <f>IF(Table1[[#This Row],[Methods]]&gt;0,Table1[[#This Row],[Loc]]/Table1[[#This Row],[Methods]],0)</f>
        <v>12.111111111111111</v>
      </c>
      <c r="H30" s="1" t="str">
        <f>IF(Table1[[#This Row],[Lines Per Method]]=0,"None",IF(Table1[[#This Row],[Lines Per Method]]&lt;=22,"Simple",IF(Table1[[#This Row],[Lines Per Method]]&lt;=50,"Moderate","Complex")))</f>
        <v>Simple</v>
      </c>
    </row>
    <row r="31" spans="1:8" x14ac:dyDescent="0.25">
      <c r="A31" t="s">
        <v>32</v>
      </c>
      <c r="B31">
        <v>30</v>
      </c>
      <c r="C31" t="s">
        <v>41</v>
      </c>
      <c r="D31" s="1">
        <v>415</v>
      </c>
      <c r="E31" s="1">
        <v>1</v>
      </c>
      <c r="F31" s="1">
        <v>5</v>
      </c>
      <c r="G31" s="1">
        <f>IF(Table1[[#This Row],[Methods]]&gt;0,Table1[[#This Row],[Loc]]/Table1[[#This Row],[Methods]],0)</f>
        <v>83</v>
      </c>
      <c r="H31" s="1" t="str">
        <f>IF(Table1[[#This Row],[Lines Per Method]]=0,"None",IF(Table1[[#This Row],[Lines Per Method]]&lt;=22,"Simple",IF(Table1[[#This Row],[Lines Per Method]]&lt;=50,"Moderate","Complex")))</f>
        <v>Complex</v>
      </c>
    </row>
    <row r="32" spans="1:8" x14ac:dyDescent="0.25">
      <c r="A32" t="s">
        <v>32</v>
      </c>
      <c r="B32">
        <v>31</v>
      </c>
      <c r="C32" t="s">
        <v>42</v>
      </c>
      <c r="D32" s="1">
        <v>173</v>
      </c>
      <c r="E32" s="1">
        <v>1</v>
      </c>
      <c r="F32" s="1">
        <v>6</v>
      </c>
      <c r="G32" s="1">
        <f>IF(Table1[[#This Row],[Methods]]&gt;0,Table1[[#This Row],[Loc]]/Table1[[#This Row],[Methods]],0)</f>
        <v>28.833333333333332</v>
      </c>
      <c r="H32" s="1" t="str">
        <f>IF(Table1[[#This Row],[Lines Per Method]]=0,"None",IF(Table1[[#This Row],[Lines Per Method]]&lt;=22,"Simple",IF(Table1[[#This Row],[Lines Per Method]]&lt;=50,"Moderate","Complex")))</f>
        <v>Moderate</v>
      </c>
    </row>
    <row r="33" spans="1:8" x14ac:dyDescent="0.25">
      <c r="A33" t="s">
        <v>43</v>
      </c>
      <c r="B33">
        <v>32</v>
      </c>
      <c r="D33" s="1">
        <v>12</v>
      </c>
      <c r="E33" s="1">
        <v>0</v>
      </c>
      <c r="F33" s="1">
        <v>0</v>
      </c>
      <c r="G33" s="1">
        <f>IF(Table1[[#This Row],[Methods]]&gt;0,Table1[[#This Row],[Loc]]/Table1[[#This Row],[Methods]],0)</f>
        <v>0</v>
      </c>
      <c r="H33" s="1" t="str">
        <f>IF(Table1[[#This Row],[Lines Per Method]]=0,"None",IF(Table1[[#This Row],[Lines Per Method]]&lt;=22,"Simple",IF(Table1[[#This Row],[Lines Per Method]]&lt;=50,"Moderate","Complex")))</f>
        <v>None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2025-11-15T02:00:09Z</dcterms:created>
  <dcterms:modified xsi:type="dcterms:W3CDTF">2025-11-18T03:06:25Z</dcterms:modified>
</cp:coreProperties>
</file>