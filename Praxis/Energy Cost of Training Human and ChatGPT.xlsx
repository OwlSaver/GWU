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hub\GWU\Praxis\"/>
    </mc:Choice>
  </mc:AlternateContent>
  <xr:revisionPtr revIDLastSave="0" documentId="13_ncr:1_{53F7948E-B69F-46DE-8F6B-AA7552BB8D98}" xr6:coauthVersionLast="47" xr6:coauthVersionMax="47" xr10:uidLastSave="{00000000-0000-0000-0000-000000000000}"/>
  <bookViews>
    <workbookView xWindow="-120" yWindow="-120" windowWidth="29040" windowHeight="15720" xr2:uid="{B0C8F7DD-02D5-4294-BBCF-E4F7EFA3A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R5" i="1"/>
  <c r="S5" i="1" s="1"/>
  <c r="I30" i="1"/>
  <c r="J30" i="1" s="1"/>
  <c r="I29" i="1"/>
  <c r="J29" i="1" s="1"/>
  <c r="I28" i="1"/>
  <c r="J28" i="1" s="1"/>
  <c r="I27" i="1"/>
  <c r="J27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5" i="1"/>
  <c r="J5" i="1" s="1"/>
  <c r="L26" i="1" l="1"/>
  <c r="K26" i="1"/>
  <c r="J26" i="1"/>
  <c r="K25" i="1"/>
  <c r="L25" i="1"/>
  <c r="J25" i="1"/>
  <c r="L24" i="1"/>
  <c r="K24" i="1"/>
  <c r="J24" i="1"/>
  <c r="J31" i="1" s="1"/>
  <c r="K30" i="1"/>
  <c r="L30" i="1"/>
  <c r="K29" i="1"/>
  <c r="L29" i="1"/>
  <c r="K28" i="1"/>
  <c r="L28" i="1"/>
  <c r="K27" i="1"/>
  <c r="L27" i="1"/>
  <c r="L6" i="1"/>
  <c r="K6" i="1"/>
  <c r="K7" i="1"/>
  <c r="L7" i="1"/>
  <c r="L8" i="1"/>
  <c r="K8" i="1"/>
  <c r="L9" i="1"/>
  <c r="K9" i="1"/>
  <c r="L10" i="1"/>
  <c r="K10" i="1"/>
  <c r="L11" i="1"/>
  <c r="K11" i="1"/>
  <c r="L12" i="1"/>
  <c r="K12" i="1"/>
  <c r="L13" i="1"/>
  <c r="K13" i="1"/>
  <c r="L14" i="1"/>
  <c r="K14" i="1"/>
  <c r="L15" i="1"/>
  <c r="K15" i="1"/>
  <c r="L16" i="1"/>
  <c r="K16" i="1"/>
  <c r="L17" i="1"/>
  <c r="K17" i="1"/>
  <c r="L18" i="1"/>
  <c r="K18" i="1"/>
  <c r="L19" i="1"/>
  <c r="K19" i="1"/>
  <c r="L20" i="1"/>
  <c r="K20" i="1"/>
  <c r="K21" i="1"/>
  <c r="L21" i="1"/>
  <c r="K22" i="1"/>
  <c r="L22" i="1"/>
  <c r="K23" i="1"/>
  <c r="L23" i="1"/>
  <c r="I31" i="1"/>
  <c r="L5" i="1"/>
  <c r="K5" i="1"/>
  <c r="K31" i="1" l="1"/>
  <c r="L31" i="1"/>
</calcChain>
</file>

<file path=xl/sharedStrings.xml><?xml version="1.0" encoding="utf-8"?>
<sst xmlns="http://schemas.openxmlformats.org/spreadsheetml/2006/main" count="14" uniqueCount="11">
  <si>
    <t>Age</t>
  </si>
  <si>
    <t>Calorie</t>
  </si>
  <si>
    <t>KWh</t>
  </si>
  <si>
    <t>Total</t>
  </si>
  <si>
    <t>MWh</t>
  </si>
  <si>
    <t>GWh</t>
  </si>
  <si>
    <t>vs 10 GWh to train ChatGPT</t>
  </si>
  <si>
    <t>Joules</t>
  </si>
  <si>
    <t>Kilocalorie</t>
  </si>
  <si>
    <t>Kilocalories per day</t>
  </si>
  <si>
    <t>Kilocaleries per 365 day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</si>
</sst>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70" formatCode="_(* #,##0.00000000_);_(* \(#,##0.00000000\);_(* &quot;-&quot;??_);_(@_)"/>
    <numFmt numFmtId="173" formatCode="_(* #,##0.00000000000_);_(* \(#,##0.00000000000\);_(* &quot;-&quot;??_);_(@_)"/>
    <numFmt numFmtId="175" formatCode="_(* #,##0.0000000000000_);_(* \(#,##0.00000000000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70" fontId="0" fillId="0" borderId="0" xfId="1" applyNumberFormat="1" applyFont="1"/>
    <xf numFmtId="173" fontId="0" fillId="0" borderId="0" xfId="1" applyNumberFormat="1" applyFont="1"/>
    <xf numFmtId="175" fontId="0" fillId="0" borderId="0" xfId="1" applyNumberFormat="1" applyFont="1"/>
  </cellXfs>
  <cellStyles count="2">
    <cellStyle name="Comma" xfId="1" builtinId="3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75" formatCode="_(* #,##0.0000000000000_);_(* \(#,##0.0000000000000\);_(* &quot;-&quot;??_);_(@_)"/>
    </dxf>
    <dxf>
      <numFmt numFmtId="173" formatCode="_(* #,##0.00000000000_);_(* \(#,##0.00000000000\);_(* &quot;-&quot;??_);_(@_)"/>
    </dxf>
    <dxf>
      <numFmt numFmtId="170" formatCode="_(* #,##0.00000000_);_(* \(#,##0.0000000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9B261-DE7F-48B6-93E4-98939325F9E8}" name="Table1" displayName="Table1" ref="O4:T5" totalsRowShown="0">
  <autoFilter ref="O4:T5" xr:uid="{9CA9B261-DE7F-48B6-93E4-98939325F9E8}"/>
  <tableColumns count="6">
    <tableColumn id="6" xr3:uid="{794E22AA-A6D3-48DC-B42E-93A48EBB3D10}" name="Calorie" dataDxfId="6" dataCellStyle="Comma"/>
    <tableColumn id="1" xr3:uid="{B6D0703B-0309-479D-B7AD-470A2EAA697D}" name="Kilocalorie" dataDxfId="11" dataCellStyle="Comma"/>
    <tableColumn id="2" xr3:uid="{3FA38276-ECBB-406F-AE1C-350E39694278}" name="KWh" dataDxfId="10" dataCellStyle="Comma"/>
    <tableColumn id="3" xr3:uid="{8E31577B-0941-4B4C-847A-865DB1AFD06D}" name="MWh" dataDxfId="9" dataCellStyle="Comma">
      <calculatedColumnFormula>Q5/1000</calculatedColumnFormula>
    </tableColumn>
    <tableColumn id="4" xr3:uid="{A213B79A-5F9B-4D35-8D0B-F051B2343614}" name="GWh" dataDxfId="8" dataCellStyle="Comma">
      <calculatedColumnFormula>R5/1000</calculatedColumnFormula>
    </tableColumn>
    <tableColumn id="5" xr3:uid="{B6948AF1-88FB-48E6-86A6-A7E92D3BB070}" name="Joules" dataDxfId="7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A2977-14C4-410A-A077-624D71614F49}" name="Table2" displayName="Table2" ref="G4:L31" totalsRowShown="0" dataDxfId="0" dataCellStyle="Comma">
  <autoFilter ref="G4:L31" xr:uid="{FA2A2977-14C4-410A-A077-624D71614F49}"/>
  <tableColumns count="6">
    <tableColumn id="1" xr3:uid="{75A72979-2272-4E93-9F80-06013872071A}" name="Age"/>
    <tableColumn id="2" xr3:uid="{E2718FDA-DE98-4A76-AABF-F6E1C66A4D47}" name="Kilocalories per day" dataDxfId="5" dataCellStyle="Comma"/>
    <tableColumn id="3" xr3:uid="{58708D51-C4F6-451F-AC51-174F63D83C82}" name="Kilocaleries per 365 day year" dataDxfId="4" dataCellStyle="Comma"/>
    <tableColumn id="4" xr3:uid="{F12BBD33-0376-4E33-B962-4BA87826151A}" name="Joules" dataDxfId="3" dataCellStyle="Comma"/>
    <tableColumn id="5" xr3:uid="{24497C41-5965-4C59-B9BA-48F6453AB53D}" name="KWh" dataDxfId="2" dataCellStyle="Comma"/>
    <tableColumn id="6" xr3:uid="{C022CB4C-B07D-4985-B303-BEC7FA910321}" name="GWh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C237-1625-4E81-B488-0F541A83EAF5}">
  <dimension ref="G4:T31"/>
  <sheetViews>
    <sheetView tabSelected="1" workbookViewId="0">
      <selection activeCell="G4" sqref="G4:L31"/>
    </sheetView>
  </sheetViews>
  <sheetFormatPr defaultRowHeight="15" x14ac:dyDescent="0.25"/>
  <cols>
    <col min="7" max="7" width="6.42578125" customWidth="1"/>
    <col min="8" max="8" width="20.7109375" customWidth="1"/>
    <col min="9" max="9" width="28.42578125" customWidth="1"/>
    <col min="10" max="10" width="15.28515625" bestFit="1" customWidth="1"/>
    <col min="11" max="12" width="8" bestFit="1" customWidth="1"/>
    <col min="13" max="13" width="24.85546875" bestFit="1" customWidth="1"/>
    <col min="15" max="15" width="9.85546875" bestFit="1" customWidth="1"/>
    <col min="16" max="16" width="12.85546875" bestFit="1" customWidth="1"/>
    <col min="17" max="17" width="12" bestFit="1" customWidth="1"/>
    <col min="18" max="18" width="15.140625" bestFit="1" customWidth="1"/>
    <col min="19" max="19" width="17.28515625" bestFit="1" customWidth="1"/>
    <col min="20" max="20" width="9" bestFit="1" customWidth="1"/>
  </cols>
  <sheetData>
    <row r="4" spans="7:20" x14ac:dyDescent="0.25">
      <c r="G4" t="s">
        <v>0</v>
      </c>
      <c r="H4" t="s">
        <v>9</v>
      </c>
      <c r="I4" t="s">
        <v>10</v>
      </c>
      <c r="J4" t="s">
        <v>7</v>
      </c>
      <c r="K4" t="s">
        <v>2</v>
      </c>
      <c r="L4" t="s">
        <v>5</v>
      </c>
      <c r="O4" t="s">
        <v>1</v>
      </c>
      <c r="P4" t="s">
        <v>8</v>
      </c>
      <c r="Q4" t="s">
        <v>2</v>
      </c>
      <c r="R4" t="s">
        <v>4</v>
      </c>
      <c r="S4" t="s">
        <v>5</v>
      </c>
      <c r="T4" t="s">
        <v>7</v>
      </c>
    </row>
    <row r="5" spans="7:20" x14ac:dyDescent="0.25">
      <c r="G5">
        <v>0</v>
      </c>
      <c r="H5" s="1">
        <v>1000</v>
      </c>
      <c r="I5" s="1">
        <f>H5*365</f>
        <v>365000</v>
      </c>
      <c r="J5" s="1">
        <f>I5*$T$5</f>
        <v>1527160000</v>
      </c>
      <c r="K5" s="1">
        <f t="shared" ref="K5:K30" si="0">I5*$Q$5</f>
        <v>424.21030000000002</v>
      </c>
      <c r="L5" s="2">
        <f>I5*$S$5</f>
        <v>4.242103E-4</v>
      </c>
      <c r="O5" s="1">
        <v>1000</v>
      </c>
      <c r="P5" s="1">
        <v>1</v>
      </c>
      <c r="Q5" s="3">
        <v>1.16222E-3</v>
      </c>
      <c r="R5" s="4">
        <f>Q5/1000</f>
        <v>1.16222E-6</v>
      </c>
      <c r="S5" s="5">
        <f>R5/1000</f>
        <v>1.1622199999999999E-9</v>
      </c>
      <c r="T5" s="1">
        <v>4184</v>
      </c>
    </row>
    <row r="6" spans="7:20" x14ac:dyDescent="0.25">
      <c r="G6">
        <v>1</v>
      </c>
      <c r="H6" s="1">
        <v>1400</v>
      </c>
      <c r="I6" s="1">
        <f t="shared" ref="I6:I30" si="1">H6*365</f>
        <v>511000</v>
      </c>
      <c r="J6" s="1">
        <f t="shared" ref="J6:J30" si="2">I6*$T$5</f>
        <v>2138024000</v>
      </c>
      <c r="K6" s="1">
        <f t="shared" si="0"/>
        <v>593.89442000000008</v>
      </c>
      <c r="L6" s="2">
        <f t="shared" ref="L6:L30" si="3">I6*$S$5</f>
        <v>5.9389441999999992E-4</v>
      </c>
    </row>
    <row r="7" spans="7:20" x14ac:dyDescent="0.25">
      <c r="G7">
        <v>2</v>
      </c>
      <c r="H7" s="1">
        <v>1400</v>
      </c>
      <c r="I7" s="1">
        <f t="shared" si="1"/>
        <v>511000</v>
      </c>
      <c r="J7" s="1">
        <f t="shared" si="2"/>
        <v>2138024000</v>
      </c>
      <c r="K7" s="1">
        <f t="shared" si="0"/>
        <v>593.89442000000008</v>
      </c>
      <c r="L7" s="2">
        <f t="shared" si="3"/>
        <v>5.9389441999999992E-4</v>
      </c>
    </row>
    <row r="8" spans="7:20" x14ac:dyDescent="0.25">
      <c r="G8">
        <v>3</v>
      </c>
      <c r="H8" s="1">
        <v>1400</v>
      </c>
      <c r="I8" s="1">
        <f t="shared" si="1"/>
        <v>511000</v>
      </c>
      <c r="J8" s="1">
        <f t="shared" si="2"/>
        <v>2138024000</v>
      </c>
      <c r="K8" s="1">
        <f t="shared" si="0"/>
        <v>593.89442000000008</v>
      </c>
      <c r="L8" s="2">
        <f t="shared" si="3"/>
        <v>5.9389441999999992E-4</v>
      </c>
    </row>
    <row r="9" spans="7:20" x14ac:dyDescent="0.25">
      <c r="G9">
        <v>4</v>
      </c>
      <c r="H9" s="1">
        <v>2000</v>
      </c>
      <c r="I9" s="1">
        <f t="shared" si="1"/>
        <v>730000</v>
      </c>
      <c r="J9" s="1">
        <f t="shared" si="2"/>
        <v>3054320000</v>
      </c>
      <c r="K9" s="1">
        <f t="shared" si="0"/>
        <v>848.42060000000004</v>
      </c>
      <c r="L9" s="2">
        <f t="shared" si="3"/>
        <v>8.484206E-4</v>
      </c>
    </row>
    <row r="10" spans="7:20" x14ac:dyDescent="0.25">
      <c r="G10">
        <v>5</v>
      </c>
      <c r="H10" s="1">
        <v>2000</v>
      </c>
      <c r="I10" s="1">
        <f t="shared" si="1"/>
        <v>730000</v>
      </c>
      <c r="J10" s="1">
        <f t="shared" si="2"/>
        <v>3054320000</v>
      </c>
      <c r="K10" s="1">
        <f t="shared" si="0"/>
        <v>848.42060000000004</v>
      </c>
      <c r="L10" s="2">
        <f t="shared" si="3"/>
        <v>8.484206E-4</v>
      </c>
    </row>
    <row r="11" spans="7:20" x14ac:dyDescent="0.25">
      <c r="G11">
        <v>6</v>
      </c>
      <c r="H11" s="1">
        <v>2000</v>
      </c>
      <c r="I11" s="1">
        <f t="shared" si="1"/>
        <v>730000</v>
      </c>
      <c r="J11" s="1">
        <f t="shared" si="2"/>
        <v>3054320000</v>
      </c>
      <c r="K11" s="1">
        <f t="shared" si="0"/>
        <v>848.42060000000004</v>
      </c>
      <c r="L11" s="2">
        <f t="shared" si="3"/>
        <v>8.484206E-4</v>
      </c>
    </row>
    <row r="12" spans="7:20" x14ac:dyDescent="0.25">
      <c r="G12">
        <v>7</v>
      </c>
      <c r="H12" s="1">
        <v>2000</v>
      </c>
      <c r="I12" s="1">
        <f t="shared" si="1"/>
        <v>730000</v>
      </c>
      <c r="J12" s="1">
        <f t="shared" si="2"/>
        <v>3054320000</v>
      </c>
      <c r="K12" s="1">
        <f t="shared" si="0"/>
        <v>848.42060000000004</v>
      </c>
      <c r="L12" s="2">
        <f t="shared" si="3"/>
        <v>8.484206E-4</v>
      </c>
    </row>
    <row r="13" spans="7:20" x14ac:dyDescent="0.25">
      <c r="G13">
        <v>8</v>
      </c>
      <c r="H13" s="1">
        <v>2000</v>
      </c>
      <c r="I13" s="1">
        <f t="shared" si="1"/>
        <v>730000</v>
      </c>
      <c r="J13" s="1">
        <f t="shared" si="2"/>
        <v>3054320000</v>
      </c>
      <c r="K13" s="1">
        <f t="shared" si="0"/>
        <v>848.42060000000004</v>
      </c>
      <c r="L13" s="2">
        <f t="shared" si="3"/>
        <v>8.484206E-4</v>
      </c>
    </row>
    <row r="14" spans="7:20" x14ac:dyDescent="0.25">
      <c r="G14">
        <v>9</v>
      </c>
      <c r="H14" s="1">
        <v>2600</v>
      </c>
      <c r="I14" s="1">
        <f t="shared" si="1"/>
        <v>949000</v>
      </c>
      <c r="J14" s="1">
        <f t="shared" si="2"/>
        <v>3970616000</v>
      </c>
      <c r="K14" s="1">
        <f t="shared" si="0"/>
        <v>1102.94678</v>
      </c>
      <c r="L14" s="2">
        <f t="shared" si="3"/>
        <v>1.10294678E-3</v>
      </c>
    </row>
    <row r="15" spans="7:20" x14ac:dyDescent="0.25">
      <c r="G15">
        <v>10</v>
      </c>
      <c r="H15" s="1">
        <v>2600</v>
      </c>
      <c r="I15" s="1">
        <f t="shared" si="1"/>
        <v>949000</v>
      </c>
      <c r="J15" s="1">
        <f t="shared" si="2"/>
        <v>3970616000</v>
      </c>
      <c r="K15" s="1">
        <f t="shared" si="0"/>
        <v>1102.94678</v>
      </c>
      <c r="L15" s="2">
        <f t="shared" si="3"/>
        <v>1.10294678E-3</v>
      </c>
    </row>
    <row r="16" spans="7:20" x14ac:dyDescent="0.25">
      <c r="G16">
        <v>11</v>
      </c>
      <c r="H16" s="1">
        <v>2600</v>
      </c>
      <c r="I16" s="1">
        <f t="shared" si="1"/>
        <v>949000</v>
      </c>
      <c r="J16" s="1">
        <f t="shared" si="2"/>
        <v>3970616000</v>
      </c>
      <c r="K16" s="1">
        <f t="shared" si="0"/>
        <v>1102.94678</v>
      </c>
      <c r="L16" s="2">
        <f t="shared" si="3"/>
        <v>1.10294678E-3</v>
      </c>
    </row>
    <row r="17" spans="7:13" x14ac:dyDescent="0.25">
      <c r="G17">
        <v>12</v>
      </c>
      <c r="H17" s="1">
        <v>2600</v>
      </c>
      <c r="I17" s="1">
        <f t="shared" si="1"/>
        <v>949000</v>
      </c>
      <c r="J17" s="1">
        <f t="shared" si="2"/>
        <v>3970616000</v>
      </c>
      <c r="K17" s="1">
        <f t="shared" si="0"/>
        <v>1102.94678</v>
      </c>
      <c r="L17" s="2">
        <f t="shared" si="3"/>
        <v>1.10294678E-3</v>
      </c>
    </row>
    <row r="18" spans="7:13" x14ac:dyDescent="0.25">
      <c r="G18">
        <v>13</v>
      </c>
      <c r="H18" s="1">
        <v>2600</v>
      </c>
      <c r="I18" s="1">
        <f t="shared" si="1"/>
        <v>949000</v>
      </c>
      <c r="J18" s="1">
        <f t="shared" si="2"/>
        <v>3970616000</v>
      </c>
      <c r="K18" s="1">
        <f t="shared" si="0"/>
        <v>1102.94678</v>
      </c>
      <c r="L18" s="2">
        <f t="shared" si="3"/>
        <v>1.10294678E-3</v>
      </c>
    </row>
    <row r="19" spans="7:13" x14ac:dyDescent="0.25">
      <c r="G19">
        <v>14</v>
      </c>
      <c r="H19" s="1">
        <v>3200</v>
      </c>
      <c r="I19" s="1">
        <f t="shared" si="1"/>
        <v>1168000</v>
      </c>
      <c r="J19" s="1">
        <f t="shared" si="2"/>
        <v>4886912000</v>
      </c>
      <c r="K19" s="1">
        <f t="shared" si="0"/>
        <v>1357.4729600000001</v>
      </c>
      <c r="L19" s="2">
        <f t="shared" si="3"/>
        <v>1.3574729599999998E-3</v>
      </c>
    </row>
    <row r="20" spans="7:13" x14ac:dyDescent="0.25">
      <c r="G20">
        <v>15</v>
      </c>
      <c r="H20" s="1">
        <v>3200</v>
      </c>
      <c r="I20" s="1">
        <f t="shared" si="1"/>
        <v>1168000</v>
      </c>
      <c r="J20" s="1">
        <f t="shared" si="2"/>
        <v>4886912000</v>
      </c>
      <c r="K20" s="1">
        <f t="shared" si="0"/>
        <v>1357.4729600000001</v>
      </c>
      <c r="L20" s="2">
        <f t="shared" si="3"/>
        <v>1.3574729599999998E-3</v>
      </c>
    </row>
    <row r="21" spans="7:13" x14ac:dyDescent="0.25">
      <c r="G21">
        <v>16</v>
      </c>
      <c r="H21" s="1">
        <v>3200</v>
      </c>
      <c r="I21" s="1">
        <f t="shared" si="1"/>
        <v>1168000</v>
      </c>
      <c r="J21" s="1">
        <f t="shared" si="2"/>
        <v>4886912000</v>
      </c>
      <c r="K21" s="1">
        <f t="shared" si="0"/>
        <v>1357.4729600000001</v>
      </c>
      <c r="L21" s="2">
        <f t="shared" si="3"/>
        <v>1.3574729599999998E-3</v>
      </c>
    </row>
    <row r="22" spans="7:13" x14ac:dyDescent="0.25">
      <c r="G22">
        <v>17</v>
      </c>
      <c r="H22" s="1">
        <v>3200</v>
      </c>
      <c r="I22" s="1">
        <f t="shared" si="1"/>
        <v>1168000</v>
      </c>
      <c r="J22" s="1">
        <f t="shared" si="2"/>
        <v>4886912000</v>
      </c>
      <c r="K22" s="1">
        <f t="shared" si="0"/>
        <v>1357.4729600000001</v>
      </c>
      <c r="L22" s="2">
        <f t="shared" si="3"/>
        <v>1.3574729599999998E-3</v>
      </c>
    </row>
    <row r="23" spans="7:13" x14ac:dyDescent="0.25">
      <c r="G23">
        <v>18</v>
      </c>
      <c r="H23" s="1">
        <v>3200</v>
      </c>
      <c r="I23" s="1">
        <f t="shared" si="1"/>
        <v>1168000</v>
      </c>
      <c r="J23" s="1">
        <f t="shared" si="2"/>
        <v>4886912000</v>
      </c>
      <c r="K23" s="1">
        <f t="shared" si="0"/>
        <v>1357.4729600000001</v>
      </c>
      <c r="L23" s="2">
        <f t="shared" si="3"/>
        <v>1.3574729599999998E-3</v>
      </c>
    </row>
    <row r="24" spans="7:13" x14ac:dyDescent="0.25">
      <c r="G24">
        <v>19</v>
      </c>
      <c r="H24" s="1">
        <v>2000</v>
      </c>
      <c r="I24" s="1">
        <f t="shared" ref="I24:I26" si="4">H24*365</f>
        <v>730000</v>
      </c>
      <c r="J24" s="1">
        <f t="shared" ref="J24:J26" si="5">I24*$T$5</f>
        <v>3054320000</v>
      </c>
      <c r="K24" s="1">
        <f t="shared" ref="K24:K26" si="6">I24*$Q$5</f>
        <v>848.42060000000004</v>
      </c>
      <c r="L24" s="2">
        <f t="shared" ref="L24:L26" si="7">I24*$S$5</f>
        <v>8.484206E-4</v>
      </c>
    </row>
    <row r="25" spans="7:13" x14ac:dyDescent="0.25">
      <c r="G25">
        <v>20</v>
      </c>
      <c r="H25" s="1">
        <v>2000</v>
      </c>
      <c r="I25" s="1">
        <f t="shared" si="4"/>
        <v>730000</v>
      </c>
      <c r="J25" s="1">
        <f t="shared" si="5"/>
        <v>3054320000</v>
      </c>
      <c r="K25" s="1">
        <f t="shared" si="6"/>
        <v>848.42060000000004</v>
      </c>
      <c r="L25" s="2">
        <f t="shared" si="7"/>
        <v>8.484206E-4</v>
      </c>
    </row>
    <row r="26" spans="7:13" x14ac:dyDescent="0.25">
      <c r="G26">
        <v>21</v>
      </c>
      <c r="H26" s="1">
        <v>2000</v>
      </c>
      <c r="I26" s="1">
        <f t="shared" si="4"/>
        <v>730000</v>
      </c>
      <c r="J26" s="1">
        <f t="shared" si="5"/>
        <v>3054320000</v>
      </c>
      <c r="K26" s="1">
        <f t="shared" si="6"/>
        <v>848.42060000000004</v>
      </c>
      <c r="L26" s="2">
        <f t="shared" si="7"/>
        <v>8.484206E-4</v>
      </c>
    </row>
    <row r="27" spans="7:13" x14ac:dyDescent="0.25">
      <c r="G27">
        <v>22</v>
      </c>
      <c r="H27" s="1">
        <v>2000</v>
      </c>
      <c r="I27" s="1">
        <f t="shared" si="1"/>
        <v>730000</v>
      </c>
      <c r="J27" s="1">
        <f t="shared" si="2"/>
        <v>3054320000</v>
      </c>
      <c r="K27" s="1">
        <f t="shared" si="0"/>
        <v>848.42060000000004</v>
      </c>
      <c r="L27" s="2">
        <f t="shared" si="3"/>
        <v>8.484206E-4</v>
      </c>
    </row>
    <row r="28" spans="7:13" x14ac:dyDescent="0.25">
      <c r="G28">
        <v>23</v>
      </c>
      <c r="H28" s="1">
        <v>2000</v>
      </c>
      <c r="I28" s="1">
        <f t="shared" si="1"/>
        <v>730000</v>
      </c>
      <c r="J28" s="1">
        <f t="shared" si="2"/>
        <v>3054320000</v>
      </c>
      <c r="K28" s="1">
        <f t="shared" si="0"/>
        <v>848.42060000000004</v>
      </c>
      <c r="L28" s="2">
        <f t="shared" si="3"/>
        <v>8.484206E-4</v>
      </c>
    </row>
    <row r="29" spans="7:13" x14ac:dyDescent="0.25">
      <c r="G29">
        <v>24</v>
      </c>
      <c r="H29" s="1">
        <v>2000</v>
      </c>
      <c r="I29" s="1">
        <f t="shared" si="1"/>
        <v>730000</v>
      </c>
      <c r="J29" s="1">
        <f t="shared" si="2"/>
        <v>3054320000</v>
      </c>
      <c r="K29" s="1">
        <f t="shared" si="0"/>
        <v>848.42060000000004</v>
      </c>
      <c r="L29" s="2">
        <f t="shared" si="3"/>
        <v>8.484206E-4</v>
      </c>
    </row>
    <row r="30" spans="7:13" x14ac:dyDescent="0.25">
      <c r="G30">
        <v>25</v>
      </c>
      <c r="H30" s="1">
        <v>2000</v>
      </c>
      <c r="I30" s="1">
        <f t="shared" si="1"/>
        <v>730000</v>
      </c>
      <c r="J30" s="1">
        <f t="shared" si="2"/>
        <v>3054320000</v>
      </c>
      <c r="K30" s="1">
        <f t="shared" si="0"/>
        <v>848.42060000000004</v>
      </c>
      <c r="L30" s="2">
        <f t="shared" si="3"/>
        <v>8.484206E-4</v>
      </c>
    </row>
    <row r="31" spans="7:13" x14ac:dyDescent="0.25">
      <c r="G31" t="s">
        <v>3</v>
      </c>
      <c r="I31" s="1">
        <f>SUM(I5:I30)</f>
        <v>21243000</v>
      </c>
      <c r="J31" s="1">
        <f>SUM(J5:J30)</f>
        <v>88880712000</v>
      </c>
      <c r="K31" s="1">
        <f>SUM(K5:K30)</f>
        <v>24689.039460000007</v>
      </c>
      <c r="L31" s="2">
        <f>SUM(L5:L30)</f>
        <v>2.4689039460000003E-2</v>
      </c>
      <c r="M31" t="s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2024-10-19T17:57:07Z</dcterms:created>
  <dcterms:modified xsi:type="dcterms:W3CDTF">2025-06-02T19:19:20Z</dcterms:modified>
</cp:coreProperties>
</file>