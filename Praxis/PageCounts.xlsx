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hub\GWU\Praxis\"/>
    </mc:Choice>
  </mc:AlternateContent>
  <xr:revisionPtr revIDLastSave="0" documentId="13_ncr:1_{14E26642-564D-4F95-A59B-F8EBE4583C89}" xr6:coauthVersionLast="47" xr6:coauthVersionMax="47" xr10:uidLastSave="{00000000-0000-0000-0000-000000000000}"/>
  <bookViews>
    <workbookView xWindow="-120" yWindow="-120" windowWidth="29040" windowHeight="15720" xr2:uid="{A3655CE5-1E4B-489C-9B4F-1C15BC0218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H8" i="1" s="1"/>
  <c r="F9" i="1"/>
  <c r="H9" i="1" s="1"/>
  <c r="E10" i="1"/>
  <c r="D10" i="1"/>
  <c r="F3" i="1"/>
  <c r="H3" i="1" s="1"/>
  <c r="J3" i="1" s="1"/>
  <c r="F4" i="1"/>
  <c r="H4" i="1" s="1"/>
  <c r="J4" i="1" s="1"/>
  <c r="F5" i="1"/>
  <c r="H5" i="1" s="1"/>
  <c r="J5" i="1" s="1"/>
  <c r="F6" i="1"/>
  <c r="H6" i="1" s="1"/>
  <c r="J6" i="1" s="1"/>
  <c r="F7" i="1"/>
  <c r="H7" i="1" s="1"/>
  <c r="J7" i="1" s="1"/>
  <c r="J8" i="1" l="1"/>
  <c r="I8" i="1"/>
  <c r="J9" i="1"/>
  <c r="I9" i="1"/>
  <c r="I4" i="1"/>
  <c r="I5" i="1"/>
  <c r="I6" i="1"/>
  <c r="I7" i="1"/>
  <c r="I3" i="1"/>
  <c r="H10" i="1"/>
  <c r="J10" i="1" l="1"/>
  <c r="I10" i="1"/>
</calcChain>
</file>

<file path=xl/sharedStrings.xml><?xml version="1.0" encoding="utf-8"?>
<sst xmlns="http://schemas.openxmlformats.org/spreadsheetml/2006/main" count="71" uniqueCount="49">
  <si>
    <t>Section</t>
  </si>
  <si>
    <t>Name</t>
  </si>
  <si>
    <t>Discussion and Conclusion</t>
  </si>
  <si>
    <t>Introduction</t>
  </si>
  <si>
    <t>Methodology</t>
  </si>
  <si>
    <t>Remaining</t>
  </si>
  <si>
    <t>Literature Review</t>
  </si>
  <si>
    <t>Results and Analysis</t>
  </si>
  <si>
    <t>Required Minimum</t>
  </si>
  <si>
    <t>Required Maximum</t>
  </si>
  <si>
    <t>From Page</t>
  </si>
  <si>
    <t>To Page</t>
  </si>
  <si>
    <t>Pages</t>
  </si>
  <si>
    <t>Total</t>
  </si>
  <si>
    <t>To Do</t>
  </si>
  <si>
    <t>Write all content with placeholders</t>
  </si>
  <si>
    <t>Run experiments to fill placeholders</t>
  </si>
  <si>
    <t>Update text based on experiments</t>
  </si>
  <si>
    <t>Check consistency and completeness of each chapter</t>
  </si>
  <si>
    <t>Check consistency between chapters</t>
  </si>
  <si>
    <t>Compare to similar Praxis</t>
  </si>
  <si>
    <t>Dry run defense</t>
  </si>
  <si>
    <t>Submit final to Dr. Elbasheer by 11/1/2025</t>
  </si>
  <si>
    <t>Submit final to Department by 11/4/2025</t>
  </si>
  <si>
    <t>Under / Over</t>
  </si>
  <si>
    <t>Use Voyant-tools for EDA - basic information in the documents, in chapter 4</t>
  </si>
  <si>
    <t>Scope and objectives</t>
  </si>
  <si>
    <t>Results and data sets</t>
  </si>
  <si>
    <t>Contribution and future direction</t>
  </si>
  <si>
    <t>Conclusion</t>
  </si>
  <si>
    <t>Make sure all captions are below, centered, etc. Same format as Figure 3.5</t>
  </si>
  <si>
    <t>Make sure all tables and figures fit in the margins</t>
  </si>
  <si>
    <t>Make sure all captions fit on one line</t>
  </si>
  <si>
    <t>Add the KG pictures</t>
  </si>
  <si>
    <t>There are currently 8 placeholders, all in Chapter 4</t>
  </si>
  <si>
    <t>Check against department standards</t>
  </si>
  <si>
    <t>X</t>
  </si>
  <si>
    <t>Prepare defense deck, Defense Sections - 25 slides - Half an hour</t>
  </si>
  <si>
    <t>R</t>
  </si>
  <si>
    <t>A</t>
  </si>
  <si>
    <t>References</t>
  </si>
  <si>
    <t>Check glossary and acronyms</t>
  </si>
  <si>
    <t>Get approval from Alex</t>
  </si>
  <si>
    <t>Get approval from Don</t>
  </si>
  <si>
    <t>Get approval from Andy</t>
  </si>
  <si>
    <t>Submit Chapter 4 to Dr. Elbasheer by October 15</t>
  </si>
  <si>
    <t>Print out and review with a highlighter</t>
  </si>
  <si>
    <t>Complete appendices</t>
  </si>
  <si>
    <t>Appendices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</si>
</sst>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2">
    <cellStyle name="Comma" xfId="1" builtinId="3"/>
    <cellStyle name="Normal" xfId="0" builtinId="0"/>
  </cellStyles>
  <dxfs count="14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32DC34-AC3C-45A3-B181-1E49844C21D2}" name="Table1" displayName="Table1" ref="B2:J10" totalsRowCount="1">
  <autoFilter ref="B2:J9" xr:uid="{7C32DC34-AC3C-45A3-B181-1E49844C21D2}"/>
  <tableColumns count="9">
    <tableColumn id="1" xr3:uid="{2EEBB601-595C-452B-BDCD-FF7453905F47}" name="Section" totalsRowLabel="Total"/>
    <tableColumn id="2" xr3:uid="{E00AA634-837C-497A-A2A2-8A5BE7B58369}" name="Name"/>
    <tableColumn id="3" xr3:uid="{A685CEBB-1C60-47AE-8ED1-D644521AC8EF}" name="Required Minimum" totalsRowFunction="sum" dataDxfId="13" totalsRowDxfId="6" dataCellStyle="Comma"/>
    <tableColumn id="4" xr3:uid="{8F68E703-2FBC-4EBD-9347-C9C564B508BF}" name="Required Maximum" totalsRowFunction="sum" dataDxfId="12" totalsRowDxfId="5" dataCellStyle="Comma"/>
    <tableColumn id="5" xr3:uid="{FAA045D0-9137-4C02-A9B7-41117F8B3D58}" name="From Page" dataDxfId="11" totalsRowDxfId="4" dataCellStyle="Comma">
      <calculatedColumnFormula>IF(ROW() = ROW(Table1[[#Headers],[To Page]])+1, 1, OFFSET(Table1[[#This Row],[To Page]], -1, 0)+1)</calculatedColumnFormula>
    </tableColumn>
    <tableColumn id="6" xr3:uid="{C5595DC5-149F-4197-AF30-8328DF8CB42F}" name="To Page" dataDxfId="10" totalsRowDxfId="3" dataCellStyle="Comma"/>
    <tableColumn id="7" xr3:uid="{DC822750-04F3-4279-958A-7F4D3ACC8BAF}" name="Pages" totalsRowFunction="sum" dataDxfId="9" totalsRowDxfId="2" dataCellStyle="Comma">
      <calculatedColumnFormula>(G3-F3)+1</calculatedColumnFormula>
    </tableColumn>
    <tableColumn id="8" xr3:uid="{358E0971-81A9-4065-8953-2151755DDAFA}" name="Remaining" totalsRowFunction="sum" dataDxfId="8" totalsRowDxfId="1" dataCellStyle="Comma">
      <calculatedColumnFormula>IF(H3&lt;D3,D3-H3,0)</calculatedColumnFormula>
    </tableColumn>
    <tableColumn id="9" xr3:uid="{2AFA28E7-25DA-41B0-A593-46995E637AF5}" name="Under / Over" totalsRowFunction="sum" dataDxfId="7" totalsRowDxfId="0" dataCellStyle="Comma">
      <calculatedColumnFormula>IF(Table1[[#This Row],[Pages]]&lt;Table1[[#This Row],[Required Minimum]],(Table1[[#This Row],[Required Minimum]]-Table1[[#This Row],[Pages]])*-1,IF(Table1[[#This Row],[Pages]]&gt;Table1[[#This Row],[Required Maximum]],Table1[[#This Row],[Pages]]-Table1[[#This Row],[Required Maximum]],0))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1ACE-77A4-41B9-B23B-DBB001886ED3}">
  <dimension ref="B1:N33"/>
  <sheetViews>
    <sheetView tabSelected="1" workbookViewId="0">
      <selection activeCell="G8" sqref="G8"/>
    </sheetView>
  </sheetViews>
  <sheetFormatPr defaultRowHeight="15" x14ac:dyDescent="0.25"/>
  <cols>
    <col min="2" max="2" width="10.140625" bestFit="1" customWidth="1"/>
    <col min="3" max="3" width="25.7109375" bestFit="1" customWidth="1"/>
    <col min="4" max="4" width="20.7109375" bestFit="1" customWidth="1"/>
    <col min="5" max="5" width="21" bestFit="1" customWidth="1"/>
    <col min="6" max="6" width="12.5703125" bestFit="1" customWidth="1"/>
    <col min="7" max="7" width="10.140625" bestFit="1" customWidth="1"/>
    <col min="8" max="8" width="8.5703125" bestFit="1" customWidth="1"/>
    <col min="9" max="9" width="12.85546875" bestFit="1" customWidth="1"/>
    <col min="10" max="10" width="14.5703125" bestFit="1" customWidth="1"/>
    <col min="12" max="12" width="6" customWidth="1"/>
    <col min="14" max="14" width="57.85546875" customWidth="1"/>
  </cols>
  <sheetData>
    <row r="1" spans="2:14" ht="15.75" thickBot="1" x14ac:dyDescent="0.3"/>
    <row r="2" spans="2:14" x14ac:dyDescent="0.25">
      <c r="B2" t="s">
        <v>0</v>
      </c>
      <c r="C2" t="s">
        <v>1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5</v>
      </c>
      <c r="J2" t="s">
        <v>24</v>
      </c>
      <c r="L2" s="4" t="s">
        <v>14</v>
      </c>
      <c r="M2" s="5"/>
      <c r="N2" s="6"/>
    </row>
    <row r="3" spans="2:14" x14ac:dyDescent="0.25">
      <c r="B3">
        <v>1</v>
      </c>
      <c r="C3" t="s">
        <v>3</v>
      </c>
      <c r="D3" s="1">
        <v>5</v>
      </c>
      <c r="E3" s="1">
        <v>7</v>
      </c>
      <c r="F3" s="1">
        <f ca="1">IF(ROW() = ROW(Table1[[#Headers],[To Page]])+1, 1, OFFSET(Table1[[#This Row],[To Page]], -1, 0)+1)</f>
        <v>1</v>
      </c>
      <c r="G3" s="1">
        <v>7</v>
      </c>
      <c r="H3" s="1">
        <f t="shared" ref="H3:H9" ca="1" si="0">(G3-F3)+1</f>
        <v>7</v>
      </c>
      <c r="I3" s="1">
        <f t="shared" ref="I3:I9" ca="1" si="1">IF(H3&lt;D3,D3-H3,0)</f>
        <v>0</v>
      </c>
      <c r="J3" s="1">
        <f ca="1">IF(Table1[[#This Row],[Pages]]&lt;Table1[[#This Row],[Required Minimum]],(Table1[[#This Row],[Required Minimum]]-Table1[[#This Row],[Pages]])*-1,IF(Table1[[#This Row],[Pages]]&gt;Table1[[#This Row],[Required Maximum]],Table1[[#This Row],[Pages]]-Table1[[#This Row],[Required Maximum]],0))</f>
        <v>0</v>
      </c>
      <c r="L3" s="10" t="s">
        <v>36</v>
      </c>
      <c r="M3" s="8" t="s">
        <v>15</v>
      </c>
      <c r="N3" s="11"/>
    </row>
    <row r="4" spans="2:14" x14ac:dyDescent="0.25">
      <c r="B4">
        <v>2</v>
      </c>
      <c r="C4" t="s">
        <v>6</v>
      </c>
      <c r="D4" s="1">
        <v>20</v>
      </c>
      <c r="E4" s="1">
        <v>30</v>
      </c>
      <c r="F4" s="1">
        <f ca="1">IF(ROW() = ROW(Table1[[#Headers],[To Page]])+1, 1, OFFSET(Table1[[#This Row],[To Page]], -1, 0)+1)</f>
        <v>8</v>
      </c>
      <c r="G4" s="1">
        <v>31</v>
      </c>
      <c r="H4" s="1">
        <f t="shared" ca="1" si="0"/>
        <v>24</v>
      </c>
      <c r="I4" s="1">
        <f t="shared" ca="1" si="1"/>
        <v>0</v>
      </c>
      <c r="J4" s="1">
        <f ca="1">IF(Table1[[#This Row],[Pages]]&lt;Table1[[#This Row],[Required Minimum]],(Table1[[#This Row],[Required Minimum]]-Table1[[#This Row],[Pages]])*-1,IF(Table1[[#This Row],[Pages]]&gt;Table1[[#This Row],[Required Maximum]],Table1[[#This Row],[Pages]]-Table1[[#This Row],[Required Maximum]],0))</f>
        <v>0</v>
      </c>
      <c r="L4" s="10" t="s">
        <v>36</v>
      </c>
      <c r="M4" s="8" t="s">
        <v>34</v>
      </c>
      <c r="N4" s="11"/>
    </row>
    <row r="5" spans="2:14" x14ac:dyDescent="0.25">
      <c r="B5">
        <v>3</v>
      </c>
      <c r="C5" t="s">
        <v>4</v>
      </c>
      <c r="D5" s="1">
        <v>20</v>
      </c>
      <c r="E5" s="1">
        <v>25</v>
      </c>
      <c r="F5" s="1">
        <f ca="1">IF(ROW() = ROW(Table1[[#Headers],[To Page]])+1, 1, OFFSET(Table1[[#This Row],[To Page]], -1, 0)+1)</f>
        <v>32</v>
      </c>
      <c r="G5" s="1">
        <v>53</v>
      </c>
      <c r="H5" s="1">
        <f t="shared" ca="1" si="0"/>
        <v>22</v>
      </c>
      <c r="I5" s="1">
        <f t="shared" ca="1" si="1"/>
        <v>0</v>
      </c>
      <c r="J5" s="1">
        <f ca="1">IF(Table1[[#This Row],[Pages]]&lt;Table1[[#This Row],[Required Minimum]],(Table1[[#This Row],[Required Minimum]]-Table1[[#This Row],[Pages]])*-1,IF(Table1[[#This Row],[Pages]]&gt;Table1[[#This Row],[Required Maximum]],Table1[[#This Row],[Pages]]-Table1[[#This Row],[Required Maximum]],0))</f>
        <v>0</v>
      </c>
      <c r="L5" s="10" t="s">
        <v>36</v>
      </c>
      <c r="M5" s="8" t="s">
        <v>30</v>
      </c>
      <c r="N5" s="11"/>
    </row>
    <row r="6" spans="2:14" x14ac:dyDescent="0.25">
      <c r="B6">
        <v>4</v>
      </c>
      <c r="C6" t="s">
        <v>7</v>
      </c>
      <c r="D6" s="1">
        <v>25</v>
      </c>
      <c r="E6" s="1">
        <v>30</v>
      </c>
      <c r="F6" s="1">
        <f ca="1">IF(ROW() = ROW(Table1[[#Headers],[To Page]])+1, 1, OFFSET(Table1[[#This Row],[To Page]], -1, 0)+1)</f>
        <v>54</v>
      </c>
      <c r="G6" s="1">
        <v>80</v>
      </c>
      <c r="H6" s="1">
        <f t="shared" ca="1" si="0"/>
        <v>27</v>
      </c>
      <c r="I6" s="1">
        <f t="shared" ca="1" si="1"/>
        <v>0</v>
      </c>
      <c r="J6" s="1">
        <f ca="1">IF(Table1[[#This Row],[Pages]]&lt;Table1[[#This Row],[Required Minimum]],(Table1[[#This Row],[Required Minimum]]-Table1[[#This Row],[Pages]])*-1,IF(Table1[[#This Row],[Pages]]&gt;Table1[[#This Row],[Required Maximum]],Table1[[#This Row],[Pages]]-Table1[[#This Row],[Required Maximum]],0))</f>
        <v>0</v>
      </c>
      <c r="L6" s="10" t="s">
        <v>36</v>
      </c>
      <c r="M6" s="8" t="s">
        <v>31</v>
      </c>
      <c r="N6" s="11"/>
    </row>
    <row r="7" spans="2:14" x14ac:dyDescent="0.25">
      <c r="B7">
        <v>5</v>
      </c>
      <c r="C7" t="s">
        <v>2</v>
      </c>
      <c r="D7" s="1">
        <v>3</v>
      </c>
      <c r="E7" s="1">
        <v>5</v>
      </c>
      <c r="F7" s="1">
        <f ca="1">IF(ROW() = ROW(Table1[[#Headers],[To Page]])+1, 1, OFFSET(Table1[[#This Row],[To Page]], -1, 0)+1)</f>
        <v>81</v>
      </c>
      <c r="G7" s="1">
        <v>85</v>
      </c>
      <c r="H7" s="1">
        <f t="shared" ca="1" si="0"/>
        <v>5</v>
      </c>
      <c r="I7" s="1">
        <f t="shared" ca="1" si="1"/>
        <v>0</v>
      </c>
      <c r="J7" s="1">
        <f ca="1">IF(Table1[[#This Row],[Pages]]&lt;Table1[[#This Row],[Required Minimum]],(Table1[[#This Row],[Required Minimum]]-Table1[[#This Row],[Pages]])*-1,IF(Table1[[#This Row],[Pages]]&gt;Table1[[#This Row],[Required Maximum]],Table1[[#This Row],[Pages]]-Table1[[#This Row],[Required Maximum]],0))</f>
        <v>0</v>
      </c>
      <c r="L7" s="10" t="s">
        <v>36</v>
      </c>
      <c r="M7" s="8" t="s">
        <v>32</v>
      </c>
      <c r="N7" s="11"/>
    </row>
    <row r="8" spans="2:14" x14ac:dyDescent="0.25">
      <c r="B8" s="3" t="s">
        <v>38</v>
      </c>
      <c r="C8" t="s">
        <v>40</v>
      </c>
      <c r="D8" s="1">
        <v>5</v>
      </c>
      <c r="E8" s="1">
        <v>10</v>
      </c>
      <c r="F8" s="1">
        <f ca="1">IF(ROW() = ROW(Table1[[#Headers],[To Page]])+1, 1, OFFSET(Table1[[#This Row],[To Page]], -1, 0)+1)</f>
        <v>86</v>
      </c>
      <c r="G8" s="1">
        <v>102</v>
      </c>
      <c r="H8" s="1">
        <f t="shared" ca="1" si="0"/>
        <v>17</v>
      </c>
      <c r="I8" s="1">
        <f t="shared" ca="1" si="1"/>
        <v>0</v>
      </c>
      <c r="J8" s="1">
        <f ca="1">IF(Table1[[#This Row],[Pages]]&lt;Table1[[#This Row],[Required Minimum]],(Table1[[#This Row],[Required Minimum]]-Table1[[#This Row],[Pages]])*-1,IF(Table1[[#This Row],[Pages]]&gt;Table1[[#This Row],[Required Maximum]],Table1[[#This Row],[Pages]]-Table1[[#This Row],[Required Maximum]],0))</f>
        <v>7</v>
      </c>
      <c r="L8" s="10" t="s">
        <v>36</v>
      </c>
      <c r="M8" s="8" t="s">
        <v>33</v>
      </c>
      <c r="N8" s="11"/>
    </row>
    <row r="9" spans="2:14" x14ac:dyDescent="0.25">
      <c r="B9" s="3" t="s">
        <v>39</v>
      </c>
      <c r="C9" t="s">
        <v>48</v>
      </c>
      <c r="D9" s="1">
        <v>0</v>
      </c>
      <c r="E9" s="1">
        <v>20</v>
      </c>
      <c r="F9" s="1">
        <f ca="1">IF(ROW() = ROW(Table1[[#Headers],[To Page]])+1, 1, OFFSET(Table1[[#This Row],[To Page]], -1, 0)+1)</f>
        <v>103</v>
      </c>
      <c r="G9" s="1">
        <v>131</v>
      </c>
      <c r="H9" s="1">
        <f t="shared" ca="1" si="0"/>
        <v>29</v>
      </c>
      <c r="I9" s="1">
        <f t="shared" ca="1" si="1"/>
        <v>0</v>
      </c>
      <c r="J9" s="1">
        <f ca="1">IF(Table1[[#This Row],[Pages]]&lt;Table1[[#This Row],[Required Minimum]],(Table1[[#This Row],[Required Minimum]]-Table1[[#This Row],[Pages]])*-1,IF(Table1[[#This Row],[Pages]]&gt;Table1[[#This Row],[Required Maximum]],Table1[[#This Row],[Pages]]-Table1[[#This Row],[Required Maximum]],0))</f>
        <v>9</v>
      </c>
      <c r="L9" s="10" t="s">
        <v>36</v>
      </c>
      <c r="M9" s="8" t="s">
        <v>25</v>
      </c>
      <c r="N9" s="11"/>
    </row>
    <row r="10" spans="2:14" x14ac:dyDescent="0.25">
      <c r="B10" t="s">
        <v>13</v>
      </c>
      <c r="D10" s="2">
        <f>SUBTOTAL(109,Table1[Required Minimum])</f>
        <v>78</v>
      </c>
      <c r="E10" s="2">
        <f>SUBTOTAL(109,Table1[Required Maximum])</f>
        <v>127</v>
      </c>
      <c r="F10" s="2"/>
      <c r="G10" s="2"/>
      <c r="H10" s="2">
        <f ca="1">SUBTOTAL(109,Table1[Pages])</f>
        <v>131</v>
      </c>
      <c r="I10" s="2">
        <f ca="1">SUBTOTAL(109,Table1[Remaining])</f>
        <v>0</v>
      </c>
      <c r="J10" s="2">
        <f ca="1">SUBTOTAL(109,Table1[Under / Over])</f>
        <v>16</v>
      </c>
      <c r="L10" s="10" t="s">
        <v>36</v>
      </c>
      <c r="M10" s="8" t="s">
        <v>16</v>
      </c>
      <c r="N10" s="11"/>
    </row>
    <row r="11" spans="2:14" x14ac:dyDescent="0.25">
      <c r="L11" s="10" t="s">
        <v>36</v>
      </c>
      <c r="M11" s="8" t="s">
        <v>17</v>
      </c>
      <c r="N11" s="11"/>
    </row>
    <row r="12" spans="2:14" x14ac:dyDescent="0.25">
      <c r="L12" s="10" t="s">
        <v>36</v>
      </c>
      <c r="M12" s="8" t="s">
        <v>45</v>
      </c>
      <c r="N12" s="11"/>
    </row>
    <row r="13" spans="2:14" x14ac:dyDescent="0.25">
      <c r="L13" s="10" t="s">
        <v>36</v>
      </c>
      <c r="M13" s="8" t="s">
        <v>42</v>
      </c>
      <c r="N13" s="11"/>
    </row>
    <row r="14" spans="2:14" x14ac:dyDescent="0.25">
      <c r="L14" s="10" t="s">
        <v>36</v>
      </c>
      <c r="M14" s="8" t="s">
        <v>43</v>
      </c>
      <c r="N14" s="11"/>
    </row>
    <row r="15" spans="2:14" x14ac:dyDescent="0.25">
      <c r="L15" s="10" t="s">
        <v>36</v>
      </c>
      <c r="M15" s="8" t="s">
        <v>44</v>
      </c>
      <c r="N15" s="11"/>
    </row>
    <row r="16" spans="2:14" x14ac:dyDescent="0.25">
      <c r="L16" s="10" t="s">
        <v>36</v>
      </c>
      <c r="M16" s="8" t="s">
        <v>18</v>
      </c>
      <c r="N16" s="11"/>
    </row>
    <row r="17" spans="12:14" x14ac:dyDescent="0.25">
      <c r="L17" s="10" t="s">
        <v>36</v>
      </c>
      <c r="M17" s="8" t="s">
        <v>19</v>
      </c>
      <c r="N17" s="11"/>
    </row>
    <row r="18" spans="12:14" x14ac:dyDescent="0.25">
      <c r="L18" s="10" t="s">
        <v>36</v>
      </c>
      <c r="M18" s="8" t="s">
        <v>35</v>
      </c>
      <c r="N18" s="11"/>
    </row>
    <row r="19" spans="12:14" x14ac:dyDescent="0.25">
      <c r="L19" s="10" t="s">
        <v>36</v>
      </c>
      <c r="M19" s="8" t="s">
        <v>47</v>
      </c>
      <c r="N19" s="11"/>
    </row>
    <row r="20" spans="12:14" x14ac:dyDescent="0.25">
      <c r="L20" s="10" t="s">
        <v>36</v>
      </c>
      <c r="M20" s="8" t="s">
        <v>41</v>
      </c>
      <c r="N20" s="11"/>
    </row>
    <row r="21" spans="12:14" x14ac:dyDescent="0.25">
      <c r="L21" s="10" t="s">
        <v>36</v>
      </c>
      <c r="M21" s="8" t="s">
        <v>46</v>
      </c>
      <c r="N21" s="11"/>
    </row>
    <row r="22" spans="12:14" x14ac:dyDescent="0.25">
      <c r="L22" s="10" t="s">
        <v>36</v>
      </c>
      <c r="M22" s="8" t="s">
        <v>20</v>
      </c>
      <c r="N22" s="11"/>
    </row>
    <row r="23" spans="12:14" x14ac:dyDescent="0.25">
      <c r="L23" s="12"/>
      <c r="M23" s="8" t="s">
        <v>22</v>
      </c>
      <c r="N23" s="11"/>
    </row>
    <row r="24" spans="12:14" x14ac:dyDescent="0.25">
      <c r="L24" s="12"/>
      <c r="M24" s="8" t="s">
        <v>23</v>
      </c>
      <c r="N24" s="11"/>
    </row>
    <row r="25" spans="12:14" x14ac:dyDescent="0.25">
      <c r="L25" s="12"/>
      <c r="M25" s="8" t="s">
        <v>37</v>
      </c>
      <c r="N25" s="11"/>
    </row>
    <row r="26" spans="12:14" x14ac:dyDescent="0.25">
      <c r="L26" s="7"/>
      <c r="M26" s="8"/>
      <c r="N26" s="11" t="s">
        <v>3</v>
      </c>
    </row>
    <row r="27" spans="12:14" x14ac:dyDescent="0.25">
      <c r="L27" s="7"/>
      <c r="M27" s="8"/>
      <c r="N27" s="11" t="s">
        <v>26</v>
      </c>
    </row>
    <row r="28" spans="12:14" x14ac:dyDescent="0.25">
      <c r="L28" s="7"/>
      <c r="M28" s="8"/>
      <c r="N28" s="11" t="s">
        <v>6</v>
      </c>
    </row>
    <row r="29" spans="12:14" x14ac:dyDescent="0.25">
      <c r="L29" s="7"/>
      <c r="M29" s="8"/>
      <c r="N29" s="11" t="s">
        <v>4</v>
      </c>
    </row>
    <row r="30" spans="12:14" x14ac:dyDescent="0.25">
      <c r="L30" s="7"/>
      <c r="M30" s="8"/>
      <c r="N30" s="11" t="s">
        <v>27</v>
      </c>
    </row>
    <row r="31" spans="12:14" x14ac:dyDescent="0.25">
      <c r="L31" s="7"/>
      <c r="M31" s="8"/>
      <c r="N31" s="11" t="s">
        <v>28</v>
      </c>
    </row>
    <row r="32" spans="12:14" x14ac:dyDescent="0.25">
      <c r="L32" s="7"/>
      <c r="M32" s="9"/>
      <c r="N32" s="13" t="s">
        <v>29</v>
      </c>
    </row>
    <row r="33" spans="12:14" ht="15.75" thickBot="1" x14ac:dyDescent="0.3">
      <c r="L33" s="14"/>
      <c r="M33" s="15" t="s">
        <v>21</v>
      </c>
      <c r="N33" s="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Wacey</dc:creator>
  <cp:lastModifiedBy>Michael</cp:lastModifiedBy>
  <dcterms:created xsi:type="dcterms:W3CDTF">2025-10-01T21:32:55Z</dcterms:created>
  <dcterms:modified xsi:type="dcterms:W3CDTF">2025-11-10T01:34:03Z</dcterms:modified>
</cp:coreProperties>
</file>